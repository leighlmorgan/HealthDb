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HealthDb\HealthDb\Files\"/>
    </mc:Choice>
  </mc:AlternateContent>
  <xr:revisionPtr revIDLastSave="0" documentId="13_ncr:1_{43DBD4CD-5040-41B9-922A-7FA76FD1714E}" xr6:coauthVersionLast="47" xr6:coauthVersionMax="47" xr10:uidLastSave="{00000000-0000-0000-0000-000000000000}"/>
  <bookViews>
    <workbookView xWindow="-120" yWindow="-120" windowWidth="29040" windowHeight="15960" activeTab="1" xr2:uid="{D7E33C9C-26D9-4944-8D7C-3661D29F5E2A}"/>
  </bookViews>
  <sheets>
    <sheet name="Summary" sheetId="4" r:id="rId1"/>
    <sheet name="BloodSugarReadingDetails" sheetId="3" r:id="rId2"/>
  </sheets>
  <definedNames>
    <definedName name="ExternalData_2" localSheetId="1" hidden="1">BloodSugarReadingDetails!$A$1:$N$31</definedName>
  </definedNames>
  <calcPr calcId="191029"/>
  <pivotCaches>
    <pivotCache cacheId="17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B46617-97BB-4120-88A3-9D521D8E448C}" keepAlive="1" name="Query - BloodSugarReadingDetails" description="Connection to the 'BloodSugarReadingDetails' query in the workbook." type="5" refreshedVersion="8" background="1" saveData="1">
    <dbPr connection="Provider=Microsoft.Mashup.OleDb.1;Data Source=$Workbook$;Location=BloodSugarReadingDetails;Extended Properties=&quot;&quot;" command="SELECT * FROM [BloodSugarReadingDetails]"/>
  </connection>
  <connection id="2" xr16:uid="{8A936F04-4D59-466A-B0FE-A60BD603DEC3}" keepAlive="1" name="Query - BloodSugarReadings" description="Connection to the 'BloodSugarReadings' query in the workbook." type="5" refreshedVersion="0" background="1">
    <dbPr connection="Provider=Microsoft.Mashup.OleDb.1;Data Source=$Workbook$;Location=BloodSugarReadings;Extended Properties=&quot;&quot;" command="SELECT * FROM [BloodSugarReadings]"/>
  </connection>
</connections>
</file>

<file path=xl/sharedStrings.xml><?xml version="1.0" encoding="utf-8"?>
<sst xmlns="http://schemas.openxmlformats.org/spreadsheetml/2006/main" count="101" uniqueCount="22">
  <si>
    <t>Id</t>
  </si>
  <si>
    <t>DateRecorded</t>
  </si>
  <si>
    <t>DateTaken</t>
  </si>
  <si>
    <t>mmolPerL</t>
  </si>
  <si>
    <t>mgPerdL</t>
  </si>
  <si>
    <t>HbA1cPercIndicative</t>
  </si>
  <si>
    <t>mmolPermol</t>
  </si>
  <si>
    <t>TimeOfDay</t>
  </si>
  <si>
    <t>StartTime</t>
  </si>
  <si>
    <t>EndTime</t>
  </si>
  <si>
    <t>MealRangeName</t>
  </si>
  <si>
    <t>PeriodRangeName</t>
  </si>
  <si>
    <t>Before Lunch</t>
  </si>
  <si>
    <t>Morning</t>
  </si>
  <si>
    <t>Before Bed</t>
  </si>
  <si>
    <t>Evening</t>
  </si>
  <si>
    <t>Before Dinner</t>
  </si>
  <si>
    <t>Afternoon</t>
  </si>
  <si>
    <t>Before Breakfast</t>
  </si>
  <si>
    <t>Average of mmolPerL</t>
  </si>
  <si>
    <t>Date</t>
  </si>
  <si>
    <t>SortOrder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</si>
</sst>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400]h:mm:ss\ AM/PM"/>
    <numFmt numFmtId="166" formatCode="_-* #,##0.0_-;\-* #,##0.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22" fontId="2" fillId="0" borderId="0" xfId="0" applyNumberFormat="1" applyFont="1"/>
    <xf numFmtId="164" fontId="2" fillId="0" borderId="0" xfId="0" applyNumberFormat="1" applyFont="1"/>
    <xf numFmtId="0" fontId="0" fillId="0" borderId="0" xfId="0" pivotButton="1"/>
    <xf numFmtId="166" fontId="0" fillId="0" borderId="0" xfId="1" applyNumberFormat="1" applyFont="1"/>
    <xf numFmtId="166" fontId="0" fillId="0" borderId="0" xfId="0" applyNumberFormat="1"/>
    <xf numFmtId="14" fontId="0" fillId="0" borderId="0" xfId="0" applyNumberFormat="1"/>
    <xf numFmtId="14" fontId="4" fillId="0" borderId="0" xfId="0" applyNumberFormat="1" applyFont="1"/>
    <xf numFmtId="164" fontId="4" fillId="0" borderId="0" xfId="0" applyNumberFormat="1" applyFont="1"/>
    <xf numFmtId="0" fontId="4" fillId="0" borderId="0" xfId="0" applyNumberFormat="1" applyFont="1"/>
    <xf numFmtId="0" fontId="4" fillId="0" borderId="0" xfId="0" applyFont="1"/>
  </cellXfs>
  <cellStyles count="2">
    <cellStyle name="Comma" xfId="1" builtinId="3"/>
    <cellStyle name="Normal" xfId="0" builtinId="0"/>
  </cellStyles>
  <dxfs count="63"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</font>
    </dxf>
    <dxf>
      <font>
        <strike val="0"/>
        <outline val="0"/>
        <shadow val="0"/>
        <u val="none"/>
        <vertAlign val="baseline"/>
        <sz val="10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</font>
      <numFmt numFmtId="164" formatCode="[$-F400]h:mm:ss\ AM/PM"/>
    </dxf>
    <dxf>
      <font>
        <strike val="0"/>
        <outline val="0"/>
        <shadow val="0"/>
        <u val="none"/>
        <vertAlign val="baseline"/>
        <sz val="10"/>
        <color theme="1"/>
      </font>
      <numFmt numFmtId="164" formatCode="[$-F400]h:mm:ss\ AM/PM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[$-F400]h:mm:ss\ AM/PM"/>
    </dxf>
    <dxf>
      <font>
        <strike val="0"/>
        <outline val="0"/>
        <shadow val="0"/>
        <u val="none"/>
        <vertAlign val="baseline"/>
        <sz val="10"/>
        <color theme="1"/>
      </font>
      <numFmt numFmtId="19" formatCode="dd/mm/yyyy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7" formatCode="dd/mm/yyyy\ hh:mm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7" formatCode="dd/mm/yyyy\ hh:mm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[BloodSugarReadingsAnalysis.xlsx]Summary!PivotTable33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Summary!$E$3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Summary!$A$4:$D$14</c:f>
              <c:multiLvlStrCache>
                <c:ptCount val="11"/>
                <c:lvl>
                  <c:pt idx="0">
                    <c:v>Before Lunch</c:v>
                  </c:pt>
                  <c:pt idx="1">
                    <c:v>Before Lunch</c:v>
                  </c:pt>
                  <c:pt idx="2">
                    <c:v>Before Lunch</c:v>
                  </c:pt>
                  <c:pt idx="3">
                    <c:v>Before Lunch</c:v>
                  </c:pt>
                  <c:pt idx="4">
                    <c:v>Before Breakfast</c:v>
                  </c:pt>
                  <c:pt idx="5">
                    <c:v>Before Lunch</c:v>
                  </c:pt>
                  <c:pt idx="6">
                    <c:v>Before Lunch</c:v>
                  </c:pt>
                  <c:pt idx="7">
                    <c:v>Before Lunch</c:v>
                  </c:pt>
                  <c:pt idx="8">
                    <c:v>Before Lunch</c:v>
                  </c:pt>
                  <c:pt idx="9">
                    <c:v>Before Lunch</c:v>
                  </c:pt>
                  <c:pt idx="10">
                    <c:v>Before Lunch</c:v>
                  </c:pt>
                </c:lvl>
                <c:lvl>
                  <c:pt idx="0">
                    <c:v>Morning</c:v>
                  </c:pt>
                  <c:pt idx="1">
                    <c:v>Morning</c:v>
                  </c:pt>
                  <c:pt idx="2">
                    <c:v>Morning</c:v>
                  </c:pt>
                  <c:pt idx="3">
                    <c:v>Morning</c:v>
                  </c:pt>
                  <c:pt idx="4">
                    <c:v>Morning</c:v>
                  </c:pt>
                  <c:pt idx="5">
                    <c:v>Morning</c:v>
                  </c:pt>
                  <c:pt idx="6">
                    <c:v>Morning</c:v>
                  </c:pt>
                  <c:pt idx="7">
                    <c:v>Morning</c:v>
                  </c:pt>
                  <c:pt idx="8">
                    <c:v>Morning</c:v>
                  </c:pt>
                  <c:pt idx="9">
                    <c:v>Morning</c:v>
                  </c:pt>
                  <c:pt idx="10">
                    <c:v>Morning</c:v>
                  </c:pt>
                </c:lvl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1</c:v>
                  </c:pt>
                  <c:pt idx="5">
                    <c:v>2</c:v>
                  </c:pt>
                  <c:pt idx="6">
                    <c:v>2</c:v>
                  </c:pt>
                  <c:pt idx="7">
                    <c:v>2</c:v>
                  </c:pt>
                  <c:pt idx="8">
                    <c:v>2</c:v>
                  </c:pt>
                  <c:pt idx="9">
                    <c:v>2</c:v>
                  </c:pt>
                  <c:pt idx="10">
                    <c:v>2</c:v>
                  </c:pt>
                </c:lvl>
                <c:lvl>
                  <c:pt idx="0">
                    <c:v>14/11/2025</c:v>
                  </c:pt>
                  <c:pt idx="1">
                    <c:v>16/11/2025</c:v>
                  </c:pt>
                  <c:pt idx="2">
                    <c:v>17/11/2025</c:v>
                  </c:pt>
                  <c:pt idx="3">
                    <c:v>18/11/2025</c:v>
                  </c:pt>
                  <c:pt idx="4">
                    <c:v>19/11/2025</c:v>
                  </c:pt>
                  <c:pt idx="5">
                    <c:v>21/11/2025</c:v>
                  </c:pt>
                  <c:pt idx="6">
                    <c:v>22/11/2025</c:v>
                  </c:pt>
                  <c:pt idx="7">
                    <c:v>23/11/2025</c:v>
                  </c:pt>
                  <c:pt idx="8">
                    <c:v>24/11/2025</c:v>
                  </c:pt>
                  <c:pt idx="9">
                    <c:v>25/11/2025</c:v>
                  </c:pt>
                  <c:pt idx="10">
                    <c:v>26/11/2025</c:v>
                  </c:pt>
                </c:lvl>
              </c:multiLvlStrCache>
            </c:multiLvlStrRef>
          </c:cat>
          <c:val>
            <c:numRef>
              <c:f>Summary!$E$4:$E$14</c:f>
              <c:numCache>
                <c:formatCode>_-* #,##0.0_-;\-* #,##0.0_-;_-* "-"??_-;_-@_-</c:formatCode>
                <c:ptCount val="11"/>
                <c:pt idx="0">
                  <c:v>12.1</c:v>
                </c:pt>
                <c:pt idx="1">
                  <c:v>10.199999999999999</c:v>
                </c:pt>
                <c:pt idx="2">
                  <c:v>12.3</c:v>
                </c:pt>
                <c:pt idx="3">
                  <c:v>10.4</c:v>
                </c:pt>
                <c:pt idx="4">
                  <c:v>6.4</c:v>
                </c:pt>
                <c:pt idx="5">
                  <c:v>8</c:v>
                </c:pt>
                <c:pt idx="6">
                  <c:v>8.6</c:v>
                </c:pt>
                <c:pt idx="7">
                  <c:v>9</c:v>
                </c:pt>
                <c:pt idx="8">
                  <c:v>6.6</c:v>
                </c:pt>
                <c:pt idx="9">
                  <c:v>8.1999999999999993</c:v>
                </c:pt>
                <c:pt idx="10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FE-4411-8673-201140EF2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726816"/>
        <c:axId val="1385727296"/>
      </c:lineChart>
      <c:catAx>
        <c:axId val="138572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727296"/>
        <c:crosses val="autoZero"/>
        <c:auto val="1"/>
        <c:lblAlgn val="ctr"/>
        <c:lblOffset val="100"/>
        <c:noMultiLvlLbl val="0"/>
      </c:catAx>
      <c:valAx>
        <c:axId val="138572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72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14</xdr:row>
      <xdr:rowOff>66675</xdr:rowOff>
    </xdr:from>
    <xdr:to>
      <xdr:col>17</xdr:col>
      <xdr:colOff>571499</xdr:colOff>
      <xdr:row>35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DA7194-142D-81F0-5F21-4E7143869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igh Morgan" refreshedDate="45987.813061458335" createdVersion="8" refreshedVersion="8" minRefreshableVersion="3" recordCount="30" xr:uid="{21B5F6C2-73CF-4D27-98A8-C5EF9A9C9681}">
  <cacheSource type="worksheet">
    <worksheetSource name="BloodSugarReadingDetails"/>
  </cacheSource>
  <cacheFields count="17">
    <cacheField name="Id" numFmtId="0">
      <sharedItems containsSemiMixedTypes="0" containsString="0" containsNumber="1" containsInteger="1" minValue="1" maxValue="1023"/>
    </cacheField>
    <cacheField name="DateRecorded" numFmtId="22">
      <sharedItems containsSemiMixedTypes="0" containsNonDate="0" containsDate="1" containsString="0" minDate="2025-11-17T12:25:00" maxDate="2025-11-26T17:16:00"/>
    </cacheField>
    <cacheField name="DateTaken" numFmtId="22">
      <sharedItems containsSemiMixedTypes="0" containsNonDate="0" containsDate="1" containsString="0" minDate="2025-11-12T16:34:00" maxDate="2025-11-26T17:07:00" count="30">
        <d v="2025-11-12T16:34:00"/>
        <d v="2025-11-13T12:19:00"/>
        <d v="2025-11-13T17:49:00"/>
        <d v="2025-11-13T20:30:00"/>
        <d v="2025-11-14T07:19:00"/>
        <d v="2025-11-14T17:38:00"/>
        <d v="2025-11-15T12:21:00"/>
        <d v="2025-11-15T21:36:00"/>
        <d v="2025-11-16T08:24:00"/>
        <d v="2025-11-16T17:45:00"/>
        <d v="2025-11-17T11:53:00"/>
        <d v="2025-11-17T20:43:00"/>
        <d v="2025-11-18T07:29:00"/>
        <d v="2025-11-18T21:04:00"/>
        <d v="2025-11-19T06:58:00"/>
        <d v="2025-11-19T21:54:00"/>
        <d v="2025-11-20T12:00:00"/>
        <d v="2025-11-20T20:51:00"/>
        <d v="2025-11-21T07:14:00"/>
        <d v="2025-11-21T17:28:00"/>
        <d v="2025-11-22T07:28:00"/>
        <d v="2025-11-22T17:20:00"/>
        <d v="2025-11-23T07:37:00"/>
        <d v="2025-11-23T17:11:00"/>
        <d v="2025-11-24T07:02:00"/>
        <d v="2025-11-24T21:18:00"/>
        <d v="2025-11-25T07:10:00"/>
        <d v="2025-11-25T17:22:00"/>
        <d v="2025-11-26T07:22:00"/>
        <d v="2025-11-26T17:07:00"/>
      </sharedItems>
      <fieldGroup par="16"/>
    </cacheField>
    <cacheField name="mmolPerL" numFmtId="0">
      <sharedItems containsSemiMixedTypes="0" containsString="0" containsNumber="1" minValue="6.4" maxValue="19.5"/>
    </cacheField>
    <cacheField name="mgPerdL" numFmtId="0">
      <sharedItems containsSemiMixedTypes="0" containsString="0" containsNumber="1" minValue="115.2" maxValue="351"/>
    </cacheField>
    <cacheField name="HbA1cPercIndicative" numFmtId="0">
      <sharedItems containsSemiMixedTypes="0" containsString="0" containsNumber="1" minValue="5.641" maxValue="13.856999999999999"/>
    </cacheField>
    <cacheField name="mmolPermol" numFmtId="0">
      <sharedItems containsSemiMixedTypes="0" containsString="0" containsNumber="1" minValue="38.139000000000003" maxValue="127.95099999999999"/>
    </cacheField>
    <cacheField name="Date" numFmtId="14">
      <sharedItems containsSemiMixedTypes="0" containsNonDate="0" containsDate="1" containsString="0" minDate="2025-11-12T00:00:00" maxDate="2025-11-27T00:00:00" count="15"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</sharedItems>
    </cacheField>
    <cacheField name="TimeOfDay" numFmtId="164">
      <sharedItems containsSemiMixedTypes="0" containsNonDate="0" containsDate="1" containsString="0" minDate="1899-12-30T06:58:00" maxDate="1899-12-30T21:54:00"/>
    </cacheField>
    <cacheField name="StartTime" numFmtId="164">
      <sharedItems containsSemiMixedTypes="0" containsNonDate="0" containsDate="1" containsString="0" minDate="1899-12-30T00:00:00" maxDate="1899-12-30T17:00:00" count="4">
        <d v="1899-12-30T12:00:00"/>
        <d v="1899-12-30T17:00:00"/>
        <d v="1899-12-30T07:00:00"/>
        <d v="1899-12-30T00:00:00"/>
      </sharedItems>
    </cacheField>
    <cacheField name="EndTime" numFmtId="164">
      <sharedItems containsSemiMixedTypes="0" containsNonDate="0" containsDate="1" containsString="0" minDate="1899-12-30T06:59:59" maxDate="1899-12-30T23:59:59"/>
    </cacheField>
    <cacheField name="MealRangeName" numFmtId="0">
      <sharedItems count="4">
        <s v="Before Dinner"/>
        <s v="Before Bed"/>
        <s v="Before Lunch"/>
        <s v="Before Breakfast"/>
      </sharedItems>
    </cacheField>
    <cacheField name="PeriodRangeName" numFmtId="0">
      <sharedItems count="3">
        <s v="Afternoon"/>
        <s v="Evening"/>
        <s v="Morning"/>
      </sharedItems>
    </cacheField>
    <cacheField name="SortOrder" numFmtId="0">
      <sharedItems containsSemiMixedTypes="0" containsString="0" containsNumber="1" containsInteger="1" minValue="1" maxValue="4" count="4">
        <n v="3"/>
        <n v="4"/>
        <n v="2"/>
        <n v="1"/>
      </sharedItems>
    </cacheField>
    <cacheField name="Minutes (DateTaken)" numFmtId="0" databaseField="0">
      <fieldGroup base="2">
        <rangePr groupBy="minutes" startDate="2025-11-12T16:34:00" endDate="2025-11-26T17:07:00"/>
        <groupItems count="62">
          <s v="&lt;12/11/2025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6/11/2025"/>
        </groupItems>
      </fieldGroup>
    </cacheField>
    <cacheField name="Hours (DateTaken)" numFmtId="0" databaseField="0">
      <fieldGroup base="2">
        <rangePr groupBy="hours" startDate="2025-11-12T16:34:00" endDate="2025-11-26T17:07:00"/>
        <groupItems count="26">
          <s v="&lt;12/11/2025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6/11/2025"/>
        </groupItems>
      </fieldGroup>
    </cacheField>
    <cacheField name="Days (DateTaken)" numFmtId="0" databaseField="0">
      <fieldGroup base="2">
        <rangePr groupBy="days" startDate="2025-11-12T16:34:00" endDate="2025-11-26T17:07:00"/>
        <groupItems count="368">
          <s v="&lt;12/1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1"/>
    <d v="2025-11-17T12:25:00"/>
    <x v="0"/>
    <n v="19.5"/>
    <n v="351"/>
    <n v="13.856999999999999"/>
    <n v="127.95099999999999"/>
    <x v="0"/>
    <d v="1899-12-30T16:34:00"/>
    <x v="0"/>
    <d v="1899-12-30T16:59:59"/>
    <x v="0"/>
    <x v="0"/>
    <x v="0"/>
  </r>
  <r>
    <n v="10"/>
    <d v="2025-11-17T12:25:00"/>
    <x v="1"/>
    <n v="16.8"/>
    <n v="302.39999999999998"/>
    <n v="12.164"/>
    <n v="109.44499999999999"/>
    <x v="1"/>
    <d v="1899-12-30T12:19:00"/>
    <x v="0"/>
    <d v="1899-12-30T16:59:59"/>
    <x v="0"/>
    <x v="0"/>
    <x v="0"/>
  </r>
  <r>
    <n v="9"/>
    <d v="2025-11-17T12:25:00"/>
    <x v="2"/>
    <n v="11.9"/>
    <n v="214.2"/>
    <n v="9.0909999999999993"/>
    <n v="75.852999999999994"/>
    <x v="1"/>
    <d v="1899-12-30T17:49:00"/>
    <x v="1"/>
    <d v="1899-12-30T23:59:59"/>
    <x v="1"/>
    <x v="1"/>
    <x v="1"/>
  </r>
  <r>
    <n v="8"/>
    <d v="2025-11-17T12:25:00"/>
    <x v="3"/>
    <n v="19.100000000000001"/>
    <n v="343.8"/>
    <n v="13.606"/>
    <n v="125.208"/>
    <x v="1"/>
    <d v="1899-12-30T20:30:00"/>
    <x v="1"/>
    <d v="1899-12-30T23:59:59"/>
    <x v="1"/>
    <x v="1"/>
    <x v="1"/>
  </r>
  <r>
    <n v="7"/>
    <d v="2025-11-17T12:25:00"/>
    <x v="4"/>
    <n v="12.1"/>
    <n v="217.8"/>
    <n v="9.2159999999999993"/>
    <n v="77.218999999999994"/>
    <x v="2"/>
    <d v="1899-12-30T07:19:00"/>
    <x v="2"/>
    <d v="1899-12-30T11:59:59"/>
    <x v="2"/>
    <x v="2"/>
    <x v="2"/>
  </r>
  <r>
    <n v="6"/>
    <d v="2025-11-17T12:25:00"/>
    <x v="5"/>
    <n v="8.8000000000000007"/>
    <n v="158.4"/>
    <n v="7.1459999999999999"/>
    <n v="54.591000000000001"/>
    <x v="2"/>
    <d v="1899-12-30T17:38:00"/>
    <x v="1"/>
    <d v="1899-12-30T23:59:59"/>
    <x v="1"/>
    <x v="1"/>
    <x v="1"/>
  </r>
  <r>
    <n v="5"/>
    <d v="2025-11-17T12:25:00"/>
    <x v="6"/>
    <n v="10.7"/>
    <n v="192.6"/>
    <n v="8.3379999999999992"/>
    <n v="67.620999999999995"/>
    <x v="3"/>
    <d v="1899-12-30T12:21:00"/>
    <x v="0"/>
    <d v="1899-12-30T16:59:59"/>
    <x v="0"/>
    <x v="0"/>
    <x v="0"/>
  </r>
  <r>
    <n v="4"/>
    <d v="2025-11-17T12:25:00"/>
    <x v="7"/>
    <n v="9.6999999999999993"/>
    <n v="174.6"/>
    <n v="7.7110000000000003"/>
    <n v="60.767000000000003"/>
    <x v="3"/>
    <d v="1899-12-30T21:36:00"/>
    <x v="1"/>
    <d v="1899-12-30T23:59:59"/>
    <x v="1"/>
    <x v="1"/>
    <x v="1"/>
  </r>
  <r>
    <n v="3"/>
    <d v="2025-11-17T12:25:00"/>
    <x v="8"/>
    <n v="10.199999999999999"/>
    <n v="183.6"/>
    <n v="8.0239999999999991"/>
    <n v="64.188999999999993"/>
    <x v="4"/>
    <d v="1899-12-30T08:24:00"/>
    <x v="2"/>
    <d v="1899-12-30T11:59:59"/>
    <x v="2"/>
    <x v="2"/>
    <x v="2"/>
  </r>
  <r>
    <n v="2"/>
    <d v="2025-11-17T12:25:00"/>
    <x v="9"/>
    <n v="11.2"/>
    <n v="201.6"/>
    <n v="8.6519999999999992"/>
    <n v="71.054000000000002"/>
    <x v="4"/>
    <d v="1899-12-30T17:45:00"/>
    <x v="1"/>
    <d v="1899-12-30T23:59:59"/>
    <x v="1"/>
    <x v="1"/>
    <x v="1"/>
  </r>
  <r>
    <n v="1"/>
    <d v="2025-11-17T12:25:00"/>
    <x v="10"/>
    <n v="12.3"/>
    <n v="221.4"/>
    <n v="9.3409999999999993"/>
    <n v="78.584999999999994"/>
    <x v="5"/>
    <d v="1899-12-30T11:53:00"/>
    <x v="2"/>
    <d v="1899-12-30T11:59:59"/>
    <x v="2"/>
    <x v="2"/>
    <x v="2"/>
  </r>
  <r>
    <n v="12"/>
    <d v="2025-11-17T20:49:00"/>
    <x v="11"/>
    <n v="9"/>
    <n v="162"/>
    <n v="7.2720000000000002"/>
    <n v="55.969000000000001"/>
    <x v="5"/>
    <d v="1899-12-30T20:43:00"/>
    <x v="1"/>
    <d v="1899-12-30T23:59:59"/>
    <x v="1"/>
    <x v="1"/>
    <x v="1"/>
  </r>
  <r>
    <n v="17"/>
    <d v="2025-11-20T17:49:00"/>
    <x v="12"/>
    <n v="10.4"/>
    <n v="187.2"/>
    <n v="8.15"/>
    <n v="65.566000000000003"/>
    <x v="6"/>
    <d v="1899-12-30T07:29:00"/>
    <x v="2"/>
    <d v="1899-12-30T11:59:59"/>
    <x v="2"/>
    <x v="2"/>
    <x v="2"/>
  </r>
  <r>
    <n v="16"/>
    <d v="2025-11-20T17:49:00"/>
    <x v="13"/>
    <n v="9"/>
    <n v="162"/>
    <n v="7.2720000000000002"/>
    <n v="55.969000000000001"/>
    <x v="6"/>
    <d v="1899-12-30T21:04:00"/>
    <x v="1"/>
    <d v="1899-12-30T23:59:59"/>
    <x v="1"/>
    <x v="1"/>
    <x v="1"/>
  </r>
  <r>
    <n v="15"/>
    <d v="2025-11-20T17:49:00"/>
    <x v="14"/>
    <n v="6.4"/>
    <n v="115.2"/>
    <n v="5.641"/>
    <n v="38.139000000000003"/>
    <x v="7"/>
    <d v="1899-12-30T06:58:00"/>
    <x v="3"/>
    <d v="1899-12-30T06:59:59"/>
    <x v="3"/>
    <x v="2"/>
    <x v="3"/>
  </r>
  <r>
    <n v="14"/>
    <d v="2025-11-20T17:49:00"/>
    <x v="15"/>
    <n v="7.2"/>
    <n v="129.6"/>
    <n v="6.1429999999999998"/>
    <n v="43.627000000000002"/>
    <x v="7"/>
    <d v="1899-12-30T21:54:00"/>
    <x v="1"/>
    <d v="1899-12-30T23:59:59"/>
    <x v="1"/>
    <x v="1"/>
    <x v="1"/>
  </r>
  <r>
    <n v="13"/>
    <d v="2025-11-20T17:49:00"/>
    <x v="16"/>
    <n v="13.5"/>
    <n v="243"/>
    <n v="10.093999999999999"/>
    <n v="86.816999999999993"/>
    <x v="8"/>
    <d v="1899-12-30T12:00:00"/>
    <x v="0"/>
    <d v="1899-12-30T16:59:59"/>
    <x v="0"/>
    <x v="0"/>
    <x v="0"/>
  </r>
  <r>
    <n v="24"/>
    <d v="2025-11-23T19:40:00"/>
    <x v="17"/>
    <n v="8.4"/>
    <n v="151.19999999999999"/>
    <n v="6.8949999999999996"/>
    <n v="51.847000000000001"/>
    <x v="8"/>
    <d v="1899-12-30T20:51:00"/>
    <x v="1"/>
    <d v="1899-12-30T23:59:59"/>
    <x v="1"/>
    <x v="1"/>
    <x v="1"/>
  </r>
  <r>
    <n v="23"/>
    <d v="2025-11-23T19:40:00"/>
    <x v="18"/>
    <n v="8"/>
    <n v="144"/>
    <n v="6.6449999999999996"/>
    <n v="49.115000000000002"/>
    <x v="9"/>
    <d v="1899-12-30T07:14:00"/>
    <x v="2"/>
    <d v="1899-12-30T11:59:59"/>
    <x v="2"/>
    <x v="2"/>
    <x v="2"/>
  </r>
  <r>
    <n v="22"/>
    <d v="2025-11-23T19:40:00"/>
    <x v="19"/>
    <n v="8.3000000000000007"/>
    <n v="149.4"/>
    <n v="6.8330000000000002"/>
    <n v="51.17"/>
    <x v="9"/>
    <d v="1899-12-30T17:28:00"/>
    <x v="1"/>
    <d v="1899-12-30T23:59:59"/>
    <x v="1"/>
    <x v="1"/>
    <x v="1"/>
  </r>
  <r>
    <n v="21"/>
    <d v="2025-11-23T19:40:00"/>
    <x v="20"/>
    <n v="8.6"/>
    <n v="154.80000000000001"/>
    <n v="7.0209999999999999"/>
    <n v="53.225000000000001"/>
    <x v="10"/>
    <d v="1899-12-30T07:28:00"/>
    <x v="2"/>
    <d v="1899-12-30T11:59:59"/>
    <x v="2"/>
    <x v="2"/>
    <x v="2"/>
  </r>
  <r>
    <n v="20"/>
    <d v="2025-11-23T19:40:00"/>
    <x v="21"/>
    <n v="13"/>
    <n v="234"/>
    <n v="9.7799999999999994"/>
    <n v="83.384"/>
    <x v="10"/>
    <d v="1899-12-30T17:20:00"/>
    <x v="1"/>
    <d v="1899-12-30T23:59:59"/>
    <x v="1"/>
    <x v="1"/>
    <x v="1"/>
  </r>
  <r>
    <n v="19"/>
    <d v="2025-11-23T19:40:00"/>
    <x v="22"/>
    <n v="9"/>
    <n v="162"/>
    <n v="7.2720000000000002"/>
    <n v="55.969000000000001"/>
    <x v="11"/>
    <d v="1899-12-30T07:37:00"/>
    <x v="2"/>
    <d v="1899-12-30T11:59:59"/>
    <x v="2"/>
    <x v="2"/>
    <x v="2"/>
  </r>
  <r>
    <n v="18"/>
    <d v="2025-11-23T19:40:00"/>
    <x v="23"/>
    <n v="8.6999999999999993"/>
    <n v="156.6"/>
    <n v="7.0839999999999996"/>
    <n v="53.912999999999997"/>
    <x v="11"/>
    <d v="1899-12-30T17:11:00"/>
    <x v="1"/>
    <d v="1899-12-30T23:59:59"/>
    <x v="1"/>
    <x v="1"/>
    <x v="1"/>
  </r>
  <r>
    <n v="1023"/>
    <d v="2025-11-26T17:16:00"/>
    <x v="24"/>
    <n v="6.6"/>
    <n v="118.8"/>
    <n v="5.7670000000000003"/>
    <n v="39.517000000000003"/>
    <x v="12"/>
    <d v="1899-12-30T07:02:00"/>
    <x v="2"/>
    <d v="1899-12-30T11:59:59"/>
    <x v="2"/>
    <x v="2"/>
    <x v="2"/>
  </r>
  <r>
    <n v="1022"/>
    <d v="2025-11-26T17:16:00"/>
    <x v="25"/>
    <n v="10"/>
    <n v="180"/>
    <n v="7.899"/>
    <n v="62.822000000000003"/>
    <x v="12"/>
    <d v="1899-12-30T21:18:00"/>
    <x v="1"/>
    <d v="1899-12-30T23:59:59"/>
    <x v="1"/>
    <x v="1"/>
    <x v="1"/>
  </r>
  <r>
    <n v="1021"/>
    <d v="2025-11-26T17:16:00"/>
    <x v="26"/>
    <n v="8.1999999999999993"/>
    <n v="147.6"/>
    <n v="6.77"/>
    <n v="50.481000000000002"/>
    <x v="13"/>
    <d v="1899-12-30T07:10:00"/>
    <x v="2"/>
    <d v="1899-12-30T11:59:59"/>
    <x v="2"/>
    <x v="2"/>
    <x v="2"/>
  </r>
  <r>
    <n v="1020"/>
    <d v="2025-11-26T17:16:00"/>
    <x v="27"/>
    <n v="14.3"/>
    <n v="257.39999999999998"/>
    <n v="10.596"/>
    <n v="92.304000000000002"/>
    <x v="13"/>
    <d v="1899-12-30T17:22:00"/>
    <x v="1"/>
    <d v="1899-12-30T23:59:59"/>
    <x v="1"/>
    <x v="1"/>
    <x v="1"/>
  </r>
  <r>
    <n v="1019"/>
    <d v="2025-11-26T17:16:00"/>
    <x v="28"/>
    <n v="8.3000000000000007"/>
    <n v="149.4"/>
    <n v="6.8330000000000002"/>
    <n v="51.17"/>
    <x v="14"/>
    <d v="1899-12-30T07:22:00"/>
    <x v="2"/>
    <d v="1899-12-30T11:59:59"/>
    <x v="2"/>
    <x v="2"/>
    <x v="2"/>
  </r>
  <r>
    <n v="1018"/>
    <d v="2025-11-26T17:16:00"/>
    <x v="29"/>
    <n v="10.8"/>
    <n v="194.4"/>
    <n v="8.4009999999999998"/>
    <n v="68.31"/>
    <x v="14"/>
    <d v="1899-12-30T17:07:00"/>
    <x v="1"/>
    <d v="1899-12-30T23:59:59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B0C88-76D8-4F83-83FE-95D5E06DC6DD}" name="PivotTable33" cacheId="17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 customListSort="0">
  <location ref="A3:E14" firstHeaderRow="1" firstDataRow="1" firstDataCol="4"/>
  <pivotFields count="1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sortType="ascending" defaultSubtotal="0">
      <items count="4">
        <item x="3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h="1" x="0"/>
        <item h="1"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ascending" defaultSubtotal="0">
      <items count="368">
        <item sd="0" x="0"/>
        <item sd="0" x="367"/>
        <item sd="0" x="92"/>
        <item sd="0" x="214"/>
        <item sd="0" x="336"/>
        <item sd="0" x="32"/>
        <item sd="0" x="1"/>
        <item sd="0" x="183"/>
        <item sd="0" x="153"/>
        <item sd="0" x="61"/>
        <item sd="0" x="122"/>
        <item sd="0" x="306"/>
        <item sd="0" x="275"/>
        <item sd="0" x="245"/>
        <item sd="0" x="93"/>
        <item sd="0" x="215"/>
        <item sd="0" x="337"/>
        <item sd="0" x="33"/>
        <item sd="0" x="2"/>
        <item sd="0" x="184"/>
        <item sd="0" x="154"/>
        <item sd="0" x="62"/>
        <item sd="0" x="123"/>
        <item sd="0" x="307"/>
        <item sd="0" x="276"/>
        <item sd="0" x="246"/>
        <item sd="0" x="94"/>
        <item sd="0" x="216"/>
        <item sd="0" x="338"/>
        <item sd="0" x="34"/>
        <item sd="0" x="3"/>
        <item sd="0" x="185"/>
        <item sd="0" x="155"/>
        <item sd="0" x="63"/>
        <item sd="0" x="124"/>
        <item sd="0" x="308"/>
        <item sd="0" x="277"/>
        <item sd="0" x="247"/>
        <item sd="0" x="95"/>
        <item sd="0" x="217"/>
        <item sd="0" x="339"/>
        <item sd="0" x="35"/>
        <item sd="0" x="4"/>
        <item sd="0" x="186"/>
        <item sd="0" x="156"/>
        <item sd="0" x="64"/>
        <item sd="0" x="125"/>
        <item sd="0" x="309"/>
        <item sd="0" x="278"/>
        <item sd="0" x="248"/>
        <item sd="0" x="96"/>
        <item sd="0" x="218"/>
        <item sd="0" x="340"/>
        <item sd="0" x="36"/>
        <item sd="0" x="5"/>
        <item sd="0" x="187"/>
        <item sd="0" x="157"/>
        <item sd="0" x="65"/>
        <item sd="0" x="126"/>
        <item sd="0" x="310"/>
        <item sd="0" x="279"/>
        <item sd="0" x="249"/>
        <item sd="0" x="97"/>
        <item sd="0" x="219"/>
        <item sd="0" x="341"/>
        <item sd="0" x="37"/>
        <item sd="0" x="6"/>
        <item sd="0" x="188"/>
        <item sd="0" x="158"/>
        <item sd="0" x="66"/>
        <item sd="0" x="127"/>
        <item sd="0" x="311"/>
        <item sd="0" x="280"/>
        <item sd="0" x="250"/>
        <item sd="0" x="98"/>
        <item sd="0" x="220"/>
        <item sd="0" x="342"/>
        <item sd="0" x="38"/>
        <item sd="0" x="7"/>
        <item sd="0" x="189"/>
        <item sd="0" x="159"/>
        <item sd="0" x="67"/>
        <item sd="0" x="128"/>
        <item sd="0" x="312"/>
        <item sd="0" x="281"/>
        <item sd="0" x="251"/>
        <item sd="0" x="99"/>
        <item sd="0" x="221"/>
        <item sd="0" x="343"/>
        <item sd="0" x="39"/>
        <item sd="0" x="8"/>
        <item sd="0" x="190"/>
        <item sd="0" x="160"/>
        <item sd="0" x="68"/>
        <item sd="0" x="129"/>
        <item sd="0" x="313"/>
        <item sd="0" x="282"/>
        <item sd="0" x="252"/>
        <item sd="0" x="100"/>
        <item sd="0" x="222"/>
        <item sd="0" x="344"/>
        <item sd="0" x="40"/>
        <item sd="0" x="9"/>
        <item sd="0" x="191"/>
        <item sd="0" x="161"/>
        <item sd="0" x="69"/>
        <item sd="0" x="130"/>
        <item sd="0" x="314"/>
        <item sd="0" x="283"/>
        <item sd="0" x="253"/>
        <item sd="0" x="101"/>
        <item sd="0" x="223"/>
        <item sd="0" x="345"/>
        <item sd="0" x="41"/>
        <item sd="0" x="10"/>
        <item sd="0" x="192"/>
        <item sd="0" x="162"/>
        <item sd="0" x="70"/>
        <item sd="0" x="131"/>
        <item sd="0" x="315"/>
        <item sd="0" x="284"/>
        <item sd="0" x="254"/>
        <item sd="0" x="102"/>
        <item sd="0" x="224"/>
        <item sd="0" x="346"/>
        <item sd="0" x="42"/>
        <item sd="0" x="11"/>
        <item sd="0" x="193"/>
        <item sd="0" x="163"/>
        <item sd="0" x="71"/>
        <item sd="0" x="132"/>
        <item sd="0" x="316"/>
        <item sd="0" x="285"/>
        <item sd="0" x="255"/>
        <item sd="0" x="103"/>
        <item sd="0" x="225"/>
        <item sd="0" x="347"/>
        <item sd="0" x="43"/>
        <item sd="0" x="12"/>
        <item sd="0" x="194"/>
        <item sd="0" x="164"/>
        <item sd="0" x="72"/>
        <item sd="0" x="133"/>
        <item sd="0" x="317"/>
        <item sd="0" x="286"/>
        <item sd="0" x="256"/>
        <item sd="0" x="104"/>
        <item sd="0" x="226"/>
        <item sd="0" x="348"/>
        <item sd="0" x="44"/>
        <item sd="0" x="13"/>
        <item sd="0" x="195"/>
        <item sd="0" x="165"/>
        <item sd="0" x="73"/>
        <item sd="0" x="134"/>
        <item sd="0" x="318"/>
        <item sd="0" x="287"/>
        <item sd="0" x="257"/>
        <item sd="0" x="105"/>
        <item sd="0" x="227"/>
        <item sd="0" x="349"/>
        <item sd="0" x="45"/>
        <item sd="0" x="14"/>
        <item sd="0" x="196"/>
        <item sd="0" x="166"/>
        <item sd="0" x="74"/>
        <item sd="0" x="135"/>
        <item sd="0" x="319"/>
        <item sd="0" x="288"/>
        <item sd="0" x="258"/>
        <item sd="0" x="106"/>
        <item sd="0" x="228"/>
        <item sd="0" x="350"/>
        <item sd="0" x="46"/>
        <item sd="0" x="15"/>
        <item sd="0" x="197"/>
        <item sd="0" x="167"/>
        <item sd="0" x="75"/>
        <item sd="0" x="136"/>
        <item sd="0" x="320"/>
        <item sd="0" x="289"/>
        <item sd="0" x="259"/>
        <item sd="0" x="107"/>
        <item sd="0" x="229"/>
        <item sd="0" x="351"/>
        <item sd="0" x="47"/>
        <item sd="0" x="16"/>
        <item sd="0" x="198"/>
        <item sd="0" x="168"/>
        <item sd="0" x="76"/>
        <item sd="0" x="137"/>
        <item sd="0" x="321"/>
        <item sd="0" x="290"/>
        <item sd="0" x="260"/>
        <item sd="0" x="108"/>
        <item sd="0" x="230"/>
        <item sd="0" x="352"/>
        <item sd="0" x="48"/>
        <item sd="0" x="17"/>
        <item sd="0" x="199"/>
        <item sd="0" x="169"/>
        <item sd="0" x="77"/>
        <item sd="0" x="138"/>
        <item sd="0" x="322"/>
        <item sd="0" x="291"/>
        <item sd="0" x="261"/>
        <item sd="0" x="109"/>
        <item sd="0" x="231"/>
        <item sd="0" x="353"/>
        <item sd="0" x="49"/>
        <item sd="0" x="18"/>
        <item sd="0" x="200"/>
        <item sd="0" x="170"/>
        <item sd="0" x="78"/>
        <item sd="0" x="139"/>
        <item sd="0" x="323"/>
        <item sd="0" x="292"/>
        <item sd="0" x="262"/>
        <item sd="0" x="110"/>
        <item sd="0" x="232"/>
        <item sd="0" x="354"/>
        <item sd="0" x="50"/>
        <item sd="0" x="19"/>
        <item sd="0" x="201"/>
        <item sd="0" x="171"/>
        <item sd="0" x="79"/>
        <item sd="0" x="140"/>
        <item sd="0" x="324"/>
        <item sd="0" x="293"/>
        <item sd="0" x="263"/>
        <item sd="0" x="111"/>
        <item sd="0" x="233"/>
        <item sd="0" x="355"/>
        <item sd="0" x="51"/>
        <item sd="0" x="20"/>
        <item sd="0" x="202"/>
        <item sd="0" x="172"/>
        <item sd="0" x="80"/>
        <item sd="0" x="141"/>
        <item sd="0" x="325"/>
        <item sd="0" x="294"/>
        <item sd="0" x="264"/>
        <item sd="0" x="112"/>
        <item sd="0" x="234"/>
        <item sd="0" x="356"/>
        <item sd="0" x="52"/>
        <item sd="0" x="21"/>
        <item sd="0" x="203"/>
        <item sd="0" x="173"/>
        <item sd="0" x="81"/>
        <item sd="0" x="142"/>
        <item sd="0" x="326"/>
        <item sd="0" x="295"/>
        <item sd="0" x="265"/>
        <item sd="0" x="113"/>
        <item sd="0" x="235"/>
        <item sd="0" x="357"/>
        <item sd="0" x="53"/>
        <item sd="0" x="22"/>
        <item sd="0" x="204"/>
        <item sd="0" x="174"/>
        <item sd="0" x="82"/>
        <item sd="0" x="143"/>
        <item sd="0" x="327"/>
        <item sd="0" x="296"/>
        <item sd="0" x="266"/>
        <item sd="0" x="114"/>
        <item sd="0" x="236"/>
        <item sd="0" x="358"/>
        <item sd="0" x="54"/>
        <item sd="0" x="23"/>
        <item sd="0" x="205"/>
        <item sd="0" x="175"/>
        <item sd="0" x="83"/>
        <item sd="0" x="144"/>
        <item sd="0" x="328"/>
        <item sd="0" x="297"/>
        <item sd="0" x="267"/>
        <item sd="0" x="115"/>
        <item sd="0" x="237"/>
        <item sd="0" x="359"/>
        <item sd="0" x="55"/>
        <item sd="0" x="24"/>
        <item sd="0" x="206"/>
        <item sd="0" x="176"/>
        <item sd="0" x="84"/>
        <item sd="0" x="145"/>
        <item sd="0" x="329"/>
        <item sd="0" x="298"/>
        <item sd="0" x="268"/>
        <item sd="0" x="116"/>
        <item sd="0" x="238"/>
        <item sd="0" x="360"/>
        <item sd="0" x="56"/>
        <item sd="0" x="25"/>
        <item sd="0" x="207"/>
        <item sd="0" x="177"/>
        <item sd="0" x="85"/>
        <item sd="0" x="146"/>
        <item sd="0" x="330"/>
        <item sd="0" x="299"/>
        <item sd="0" x="269"/>
        <item sd="0" x="117"/>
        <item sd="0" x="239"/>
        <item sd="0" x="361"/>
        <item sd="0" x="57"/>
        <item sd="0" x="26"/>
        <item sd="0" x="208"/>
        <item sd="0" x="178"/>
        <item sd="0" x="86"/>
        <item sd="0" x="147"/>
        <item sd="0" x="331"/>
        <item sd="0" x="300"/>
        <item sd="0" x="270"/>
        <item sd="0" x="118"/>
        <item sd="0" x="240"/>
        <item sd="0" x="362"/>
        <item sd="0" x="58"/>
        <item sd="0" x="27"/>
        <item sd="0" x="209"/>
        <item sd="0" x="179"/>
        <item sd="0" x="87"/>
        <item sd="0" x="148"/>
        <item sd="0" x="332"/>
        <item sd="0" x="301"/>
        <item sd="0" x="271"/>
        <item sd="0" x="119"/>
        <item sd="0" x="241"/>
        <item sd="0" x="363"/>
        <item sd="0" x="59"/>
        <item sd="0" x="28"/>
        <item sd="0" x="210"/>
        <item sd="0" x="180"/>
        <item sd="0" x="88"/>
        <item sd="0" x="149"/>
        <item sd="0" x="333"/>
        <item sd="0" x="302"/>
        <item sd="0" x="272"/>
        <item sd="0" x="120"/>
        <item sd="0" x="242"/>
        <item sd="0" x="364"/>
        <item sd="0" x="60"/>
        <item sd="0" x="29"/>
        <item sd="0" x="211"/>
        <item sd="0" x="181"/>
        <item sd="0" x="89"/>
        <item sd="0" x="150"/>
        <item sd="0" x="334"/>
        <item sd="0" x="303"/>
        <item sd="0" x="273"/>
        <item sd="0" x="121"/>
        <item sd="0" x="243"/>
        <item sd="0" x="365"/>
        <item sd="0" x="30"/>
        <item sd="0" x="212"/>
        <item sd="0" x="182"/>
        <item sd="0" x="90"/>
        <item sd="0" x="151"/>
        <item sd="0" x="335"/>
        <item sd="0" x="304"/>
        <item sd="0" x="274"/>
        <item sd="0" x="244"/>
        <item sd="0" x="366"/>
        <item sd="0" x="31"/>
        <item sd="0" x="213"/>
        <item sd="0" x="91"/>
        <item sd="0" x="152"/>
        <item sd="0" x="30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7"/>
    <field x="13"/>
    <field x="12"/>
    <field x="11"/>
  </rowFields>
  <rowItems count="11">
    <i>
      <x v="2"/>
      <x v="1"/>
      <x v="2"/>
      <x v="3"/>
    </i>
    <i>
      <x v="4"/>
      <x v="1"/>
      <x v="2"/>
      <x v="3"/>
    </i>
    <i>
      <x v="5"/>
      <x v="1"/>
      <x v="2"/>
      <x v="3"/>
    </i>
    <i>
      <x v="6"/>
      <x v="1"/>
      <x v="2"/>
      <x v="3"/>
    </i>
    <i>
      <x v="7"/>
      <x/>
      <x v="2"/>
      <x v="1"/>
    </i>
    <i>
      <x v="9"/>
      <x v="1"/>
      <x v="2"/>
      <x v="3"/>
    </i>
    <i>
      <x v="10"/>
      <x v="1"/>
      <x v="2"/>
      <x v="3"/>
    </i>
    <i>
      <x v="11"/>
      <x v="1"/>
      <x v="2"/>
      <x v="3"/>
    </i>
    <i>
      <x v="12"/>
      <x v="1"/>
      <x v="2"/>
      <x v="3"/>
    </i>
    <i>
      <x v="13"/>
      <x v="1"/>
      <x v="2"/>
      <x v="3"/>
    </i>
    <i>
      <x v="14"/>
      <x v="1"/>
      <x v="2"/>
      <x v="3"/>
    </i>
  </rowItems>
  <colItems count="1">
    <i/>
  </colItems>
  <dataFields count="1">
    <dataField name="Average of mmolPerL" fld="3" subtotal="average" baseField="9" baseItem="1" numFmtId="166"/>
  </dataFields>
  <formats count="2">
    <format dxfId="62">
      <pivotArea outline="0" collapsedLevelsAreSubtotals="1" fieldPosition="0"/>
    </format>
    <format dxfId="61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96FF081-B47D-4F62-9247-1F25620EDE0C}" autoFormatId="16" applyNumberFormats="0" applyBorderFormats="0" applyFontFormats="0" applyPatternFormats="0" applyAlignmentFormats="0" applyWidthHeightFormats="0">
  <queryTableRefresh nextId="24">
    <queryTableFields count="14">
      <queryTableField id="1" name="Id" tableColumnId="1"/>
      <queryTableField id="2" name="DateRecorded" tableColumnId="2"/>
      <queryTableField id="3" name="DateTaken" tableColumnId="3"/>
      <queryTableField id="4" name="mmolPerL" tableColumnId="4"/>
      <queryTableField id="5" name="mgPerdL" tableColumnId="5"/>
      <queryTableField id="6" name="HbA1cPercIndicative" tableColumnId="6"/>
      <queryTableField id="7" name="mmolPermol" tableColumnId="7"/>
      <queryTableField id="17" name="Date" tableColumnId="13"/>
      <queryTableField id="8" name="TimeOfDay" tableColumnId="8"/>
      <queryTableField id="19" name="StartTime" tableColumnId="14"/>
      <queryTableField id="20" name="EndTime" tableColumnId="15"/>
      <queryTableField id="21" name="MealRangeName" tableColumnId="16"/>
      <queryTableField id="22" name="PeriodRangeName" tableColumnId="17"/>
      <queryTableField id="23" name="SortOrder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10E18C-0BE2-4C49-9BE8-E8D07C245872}" name="BloodSugarReadingDetails" displayName="BloodSugarReadingDetails" ref="A1:N31" tableType="queryTable" totalsRowShown="0" dataDxfId="0">
  <autoFilter ref="A1:N31" xr:uid="{1310E18C-0BE2-4C49-9BE8-E8D07C245872}"/>
  <sortState xmlns:xlrd2="http://schemas.microsoft.com/office/spreadsheetml/2017/richdata2" ref="A2:N31">
    <sortCondition ref="H2:H31"/>
    <sortCondition ref="I2:I31"/>
  </sortState>
  <tableColumns count="14">
    <tableColumn id="1" xr3:uid="{5E6373A3-25EB-41B9-AB7D-97FE3EAD1AAA}" uniqueName="1" name="Id" queryTableFieldId="1" dataDxfId="14"/>
    <tableColumn id="2" xr3:uid="{136BEC8A-D8DD-4602-B2F0-7CAD73AB93F3}" uniqueName="2" name="DateRecorded" queryTableFieldId="2" dataDxfId="13"/>
    <tableColumn id="3" xr3:uid="{95CB7418-7B28-40CA-80E2-AD5655780A09}" uniqueName="3" name="DateTaken" queryTableFieldId="3" dataDxfId="12"/>
    <tableColumn id="4" xr3:uid="{31060C07-4F9F-46A8-A32B-C96677442D2C}" uniqueName="4" name="mmolPerL" queryTableFieldId="4" dataDxfId="11"/>
    <tableColumn id="5" xr3:uid="{5D120A31-8AC4-434D-B14E-E22CFDF135A8}" uniqueName="5" name="mgPerdL" queryTableFieldId="5" dataDxfId="10"/>
    <tableColumn id="6" xr3:uid="{462416F5-33AE-4B9B-B9ED-260F055BFF08}" uniqueName="6" name="HbA1cPercIndicative" queryTableFieldId="6" dataDxfId="9"/>
    <tableColumn id="7" xr3:uid="{F22D6B3F-1D15-4FF9-BC84-03E5A2694A2F}" uniqueName="7" name="mmolPermol" queryTableFieldId="7" dataDxfId="8"/>
    <tableColumn id="13" xr3:uid="{2B38E424-4F71-42B6-ABC3-4BEE173D2981}" uniqueName="13" name="Date" queryTableFieldId="17" dataDxfId="7"/>
    <tableColumn id="8" xr3:uid="{7A3AC192-82E9-4794-9654-1B0BAFEE935A}" uniqueName="8" name="TimeOfDay" queryTableFieldId="8" dataDxfId="6"/>
    <tableColumn id="14" xr3:uid="{28C61E63-6DA9-4234-826D-FBBD47F80379}" uniqueName="14" name="StartTime" queryTableFieldId="19" dataDxfId="5"/>
    <tableColumn id="15" xr3:uid="{3A64EF0B-DFBF-417B-8036-4686352292E8}" uniqueName="15" name="EndTime" queryTableFieldId="20" dataDxfId="4"/>
    <tableColumn id="16" xr3:uid="{DBE1F9B6-4D17-43E5-89BD-9B4F17B00FF0}" uniqueName="16" name="MealRangeName" queryTableFieldId="21" dataDxfId="3"/>
    <tableColumn id="17" xr3:uid="{E1B737CE-28F1-4C43-AEA9-DD86EBD6DD01}" uniqueName="17" name="PeriodRangeName" queryTableFieldId="22" dataDxfId="2"/>
    <tableColumn id="18" xr3:uid="{58D99170-CB98-4000-9B23-7BD9D21F1C6B}" uniqueName="18" name="SortOrder" queryTableFieldId="23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D4F77-7866-4EEE-8368-EACA099F73E0}">
  <dimension ref="A3:E36"/>
  <sheetViews>
    <sheetView topLeftCell="B1" workbookViewId="0">
      <selection activeCell="C4" sqref="C4"/>
    </sheetView>
  </sheetViews>
  <sheetFormatPr defaultRowHeight="15" x14ac:dyDescent="0.25"/>
  <cols>
    <col min="1" max="1" width="12" hidden="1" customWidth="1"/>
    <col min="2" max="2" width="18.5703125" bestFit="1" customWidth="1"/>
    <col min="3" max="3" width="18.5703125" style="5" bestFit="1" customWidth="1"/>
    <col min="4" max="4" width="18.5703125" bestFit="1" customWidth="1"/>
    <col min="5" max="8" width="21.85546875" bestFit="1" customWidth="1"/>
  </cols>
  <sheetData>
    <row r="3" spans="1:5" x14ac:dyDescent="0.25">
      <c r="A3" s="4" t="s">
        <v>20</v>
      </c>
      <c r="B3" s="4" t="s">
        <v>21</v>
      </c>
      <c r="C3" s="4" t="s">
        <v>11</v>
      </c>
      <c r="D3" s="4" t="s">
        <v>10</v>
      </c>
      <c r="E3" s="6" t="s">
        <v>19</v>
      </c>
    </row>
    <row r="4" spans="1:5" x14ac:dyDescent="0.25">
      <c r="A4" s="7">
        <v>45975</v>
      </c>
      <c r="B4">
        <v>2</v>
      </c>
      <c r="C4" t="s">
        <v>13</v>
      </c>
      <c r="D4" t="s">
        <v>12</v>
      </c>
      <c r="E4" s="6">
        <v>12.1</v>
      </c>
    </row>
    <row r="5" spans="1:5" x14ac:dyDescent="0.25">
      <c r="A5" s="7">
        <v>45977</v>
      </c>
      <c r="B5">
        <v>2</v>
      </c>
      <c r="C5" t="s">
        <v>13</v>
      </c>
      <c r="D5" t="s">
        <v>12</v>
      </c>
      <c r="E5" s="6">
        <v>10.199999999999999</v>
      </c>
    </row>
    <row r="6" spans="1:5" x14ac:dyDescent="0.25">
      <c r="A6" s="7">
        <v>45978</v>
      </c>
      <c r="B6">
        <v>2</v>
      </c>
      <c r="C6" t="s">
        <v>13</v>
      </c>
      <c r="D6" t="s">
        <v>12</v>
      </c>
      <c r="E6" s="6">
        <v>12.3</v>
      </c>
    </row>
    <row r="7" spans="1:5" x14ac:dyDescent="0.25">
      <c r="A7" s="7">
        <v>45979</v>
      </c>
      <c r="B7">
        <v>2</v>
      </c>
      <c r="C7" t="s">
        <v>13</v>
      </c>
      <c r="D7" t="s">
        <v>12</v>
      </c>
      <c r="E7" s="6">
        <v>10.4</v>
      </c>
    </row>
    <row r="8" spans="1:5" x14ac:dyDescent="0.25">
      <c r="A8" s="7">
        <v>45980</v>
      </c>
      <c r="B8">
        <v>1</v>
      </c>
      <c r="C8" t="s">
        <v>13</v>
      </c>
      <c r="D8" t="s">
        <v>18</v>
      </c>
      <c r="E8" s="6">
        <v>6.4</v>
      </c>
    </row>
    <row r="9" spans="1:5" x14ac:dyDescent="0.25">
      <c r="A9" s="7">
        <v>45982</v>
      </c>
      <c r="B9">
        <v>2</v>
      </c>
      <c r="C9" t="s">
        <v>13</v>
      </c>
      <c r="D9" t="s">
        <v>12</v>
      </c>
      <c r="E9" s="6">
        <v>8</v>
      </c>
    </row>
    <row r="10" spans="1:5" x14ac:dyDescent="0.25">
      <c r="A10" s="7">
        <v>45983</v>
      </c>
      <c r="B10">
        <v>2</v>
      </c>
      <c r="C10" t="s">
        <v>13</v>
      </c>
      <c r="D10" t="s">
        <v>12</v>
      </c>
      <c r="E10" s="6">
        <v>8.6</v>
      </c>
    </row>
    <row r="11" spans="1:5" x14ac:dyDescent="0.25">
      <c r="A11" s="7">
        <v>45984</v>
      </c>
      <c r="B11">
        <v>2</v>
      </c>
      <c r="C11" t="s">
        <v>13</v>
      </c>
      <c r="D11" t="s">
        <v>12</v>
      </c>
      <c r="E11" s="6">
        <v>9</v>
      </c>
    </row>
    <row r="12" spans="1:5" x14ac:dyDescent="0.25">
      <c r="A12" s="7">
        <v>45985</v>
      </c>
      <c r="B12">
        <v>2</v>
      </c>
      <c r="C12" t="s">
        <v>13</v>
      </c>
      <c r="D12" t="s">
        <v>12</v>
      </c>
      <c r="E12" s="6">
        <v>6.6</v>
      </c>
    </row>
    <row r="13" spans="1:5" x14ac:dyDescent="0.25">
      <c r="A13" s="7">
        <v>45986</v>
      </c>
      <c r="B13">
        <v>2</v>
      </c>
      <c r="C13" t="s">
        <v>13</v>
      </c>
      <c r="D13" t="s">
        <v>12</v>
      </c>
      <c r="E13" s="6">
        <v>8.1999999999999993</v>
      </c>
    </row>
    <row r="14" spans="1:5" x14ac:dyDescent="0.25">
      <c r="A14" s="7">
        <v>45987</v>
      </c>
      <c r="B14">
        <v>2</v>
      </c>
      <c r="C14" t="s">
        <v>13</v>
      </c>
      <c r="D14" t="s">
        <v>12</v>
      </c>
      <c r="E14" s="6">
        <v>8.3000000000000007</v>
      </c>
    </row>
    <row r="15" spans="1:5" x14ac:dyDescent="0.25">
      <c r="C15"/>
    </row>
    <row r="16" spans="1:5" x14ac:dyDescent="0.25">
      <c r="C16"/>
    </row>
    <row r="17" spans="3:3" x14ac:dyDescent="0.25">
      <c r="C17"/>
    </row>
    <row r="18" spans="3:3" x14ac:dyDescent="0.25">
      <c r="C18"/>
    </row>
    <row r="19" spans="3:3" x14ac:dyDescent="0.25">
      <c r="C19"/>
    </row>
    <row r="20" spans="3:3" x14ac:dyDescent="0.25">
      <c r="C20"/>
    </row>
    <row r="21" spans="3:3" x14ac:dyDescent="0.25">
      <c r="C21"/>
    </row>
    <row r="22" spans="3:3" x14ac:dyDescent="0.25">
      <c r="C22"/>
    </row>
    <row r="23" spans="3:3" x14ac:dyDescent="0.25">
      <c r="C23"/>
    </row>
    <row r="24" spans="3:3" x14ac:dyDescent="0.25">
      <c r="C24"/>
    </row>
    <row r="25" spans="3:3" x14ac:dyDescent="0.25">
      <c r="C25"/>
    </row>
    <row r="26" spans="3:3" x14ac:dyDescent="0.25">
      <c r="C26"/>
    </row>
    <row r="27" spans="3:3" x14ac:dyDescent="0.25">
      <c r="C27"/>
    </row>
    <row r="28" spans="3:3" x14ac:dyDescent="0.25">
      <c r="C28"/>
    </row>
    <row r="29" spans="3:3" x14ac:dyDescent="0.25">
      <c r="C29"/>
    </row>
    <row r="30" spans="3:3" x14ac:dyDescent="0.25">
      <c r="C30"/>
    </row>
    <row r="31" spans="3:3" x14ac:dyDescent="0.25">
      <c r="C31"/>
    </row>
    <row r="32" spans="3:3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DA73-DB47-4310-A836-CEF189FFABAB}">
  <dimension ref="A1:N31"/>
  <sheetViews>
    <sheetView tabSelected="1" workbookViewId="0">
      <selection activeCell="G33" sqref="G33"/>
    </sheetView>
  </sheetViews>
  <sheetFormatPr defaultRowHeight="15" x14ac:dyDescent="0.25"/>
  <cols>
    <col min="1" max="1" width="5" bestFit="1" customWidth="1"/>
    <col min="2" max="2" width="16.42578125" bestFit="1" customWidth="1"/>
    <col min="3" max="3" width="15.42578125" bestFit="1" customWidth="1"/>
    <col min="4" max="4" width="12.42578125" bestFit="1" customWidth="1"/>
    <col min="5" max="5" width="11.140625" bestFit="1" customWidth="1"/>
    <col min="6" max="6" width="22.140625" bestFit="1" customWidth="1"/>
    <col min="7" max="7" width="14.85546875" bestFit="1" customWidth="1"/>
    <col min="8" max="8" width="10.42578125" bestFit="1" customWidth="1"/>
    <col min="9" max="9" width="13.28515625" bestFit="1" customWidth="1"/>
    <col min="10" max="10" width="12" bestFit="1" customWidth="1"/>
    <col min="11" max="11" width="11.140625" bestFit="1" customWidth="1"/>
    <col min="12" max="12" width="18.5703125" bestFit="1" customWidth="1"/>
    <col min="13" max="13" width="20.28515625" bestFit="1" customWidth="1"/>
    <col min="14" max="14" width="12.140625" bestFit="1" customWidth="1"/>
    <col min="15" max="15" width="11.140625" bestFit="1" customWidth="1"/>
    <col min="16" max="16" width="18.5703125" bestFit="1" customWidth="1"/>
    <col min="17" max="17" width="20.28515625" bestFit="1" customWidth="1"/>
    <col min="18" max="18" width="13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21</v>
      </c>
    </row>
    <row r="2" spans="1:14" x14ac:dyDescent="0.25">
      <c r="A2" s="1">
        <v>11</v>
      </c>
      <c r="B2" s="2">
        <v>45978.517361111109</v>
      </c>
      <c r="C2" s="2">
        <v>45973.69027777778</v>
      </c>
      <c r="D2" s="1">
        <v>19.5</v>
      </c>
      <c r="E2" s="1">
        <v>351</v>
      </c>
      <c r="F2" s="1">
        <v>13.856999999999999</v>
      </c>
      <c r="G2" s="1">
        <v>127.95099999999999</v>
      </c>
      <c r="H2" s="8">
        <v>45973</v>
      </c>
      <c r="I2" s="3">
        <v>0.69027777777777777</v>
      </c>
      <c r="J2" s="9">
        <v>0.5</v>
      </c>
      <c r="K2" s="9">
        <v>0.70832175925925922</v>
      </c>
      <c r="L2" s="10" t="s">
        <v>16</v>
      </c>
      <c r="M2" s="10" t="s">
        <v>17</v>
      </c>
      <c r="N2" s="11">
        <v>3</v>
      </c>
    </row>
    <row r="3" spans="1:14" x14ac:dyDescent="0.25">
      <c r="A3" s="1">
        <v>10</v>
      </c>
      <c r="B3" s="2">
        <v>45978.517361111109</v>
      </c>
      <c r="C3" s="2">
        <v>45974.513194444444</v>
      </c>
      <c r="D3" s="1">
        <v>16.8</v>
      </c>
      <c r="E3" s="1">
        <v>302.39999999999998</v>
      </c>
      <c r="F3" s="1">
        <v>12.164</v>
      </c>
      <c r="G3" s="1">
        <v>109.44499999999999</v>
      </c>
      <c r="H3" s="8">
        <v>45974</v>
      </c>
      <c r="I3" s="3">
        <v>0.5131944444444444</v>
      </c>
      <c r="J3" s="9">
        <v>0.5</v>
      </c>
      <c r="K3" s="9">
        <v>0.70832175925925922</v>
      </c>
      <c r="L3" s="10" t="s">
        <v>16</v>
      </c>
      <c r="M3" s="10" t="s">
        <v>17</v>
      </c>
      <c r="N3" s="11">
        <v>3</v>
      </c>
    </row>
    <row r="4" spans="1:14" x14ac:dyDescent="0.25">
      <c r="A4" s="1">
        <v>9</v>
      </c>
      <c r="B4" s="2">
        <v>45978.517361111109</v>
      </c>
      <c r="C4" s="2">
        <v>45974.742361111108</v>
      </c>
      <c r="D4" s="1">
        <v>11.9</v>
      </c>
      <c r="E4" s="1">
        <v>214.2</v>
      </c>
      <c r="F4" s="1">
        <v>9.0909999999999993</v>
      </c>
      <c r="G4" s="1">
        <v>75.852999999999994</v>
      </c>
      <c r="H4" s="8">
        <v>45974</v>
      </c>
      <c r="I4" s="3">
        <v>0.74236111111111114</v>
      </c>
      <c r="J4" s="9">
        <v>0.70833333333333337</v>
      </c>
      <c r="K4" s="9">
        <v>0.99998842592592596</v>
      </c>
      <c r="L4" s="10" t="s">
        <v>14</v>
      </c>
      <c r="M4" s="10" t="s">
        <v>15</v>
      </c>
      <c r="N4" s="11">
        <v>4</v>
      </c>
    </row>
    <row r="5" spans="1:14" x14ac:dyDescent="0.25">
      <c r="A5" s="1">
        <v>8</v>
      </c>
      <c r="B5" s="2">
        <v>45978.517361111109</v>
      </c>
      <c r="C5" s="2">
        <v>45974.854166666664</v>
      </c>
      <c r="D5" s="1">
        <v>19.100000000000001</v>
      </c>
      <c r="E5" s="1">
        <v>343.8</v>
      </c>
      <c r="F5" s="1">
        <v>13.606</v>
      </c>
      <c r="G5" s="1">
        <v>125.208</v>
      </c>
      <c r="H5" s="8">
        <v>45974</v>
      </c>
      <c r="I5" s="3">
        <v>0.85416666666666663</v>
      </c>
      <c r="J5" s="9">
        <v>0.70833333333333337</v>
      </c>
      <c r="K5" s="9">
        <v>0.99998842592592596</v>
      </c>
      <c r="L5" s="10" t="s">
        <v>14</v>
      </c>
      <c r="M5" s="10" t="s">
        <v>15</v>
      </c>
      <c r="N5" s="11">
        <v>4</v>
      </c>
    </row>
    <row r="6" spans="1:14" x14ac:dyDescent="0.25">
      <c r="A6" s="1">
        <v>7</v>
      </c>
      <c r="B6" s="2">
        <v>45978.517361111109</v>
      </c>
      <c r="C6" s="2">
        <v>45975.304861111108</v>
      </c>
      <c r="D6" s="1">
        <v>12.1</v>
      </c>
      <c r="E6" s="1">
        <v>217.8</v>
      </c>
      <c r="F6" s="1">
        <v>9.2159999999999993</v>
      </c>
      <c r="G6" s="1">
        <v>77.218999999999994</v>
      </c>
      <c r="H6" s="8">
        <v>45975</v>
      </c>
      <c r="I6" s="3">
        <v>0.30486111111111114</v>
      </c>
      <c r="J6" s="9">
        <v>0.29166666666666669</v>
      </c>
      <c r="K6" s="9">
        <v>0.49998842592592591</v>
      </c>
      <c r="L6" s="10" t="s">
        <v>12</v>
      </c>
      <c r="M6" s="10" t="s">
        <v>13</v>
      </c>
      <c r="N6" s="11">
        <v>2</v>
      </c>
    </row>
    <row r="7" spans="1:14" x14ac:dyDescent="0.25">
      <c r="A7" s="1">
        <v>6</v>
      </c>
      <c r="B7" s="2">
        <v>45978.517361111109</v>
      </c>
      <c r="C7" s="2">
        <v>45975.734722222223</v>
      </c>
      <c r="D7" s="1">
        <v>8.8000000000000007</v>
      </c>
      <c r="E7" s="1">
        <v>158.4</v>
      </c>
      <c r="F7" s="1">
        <v>7.1459999999999999</v>
      </c>
      <c r="G7" s="1">
        <v>54.591000000000001</v>
      </c>
      <c r="H7" s="8">
        <v>45975</v>
      </c>
      <c r="I7" s="3">
        <v>0.73472222222222228</v>
      </c>
      <c r="J7" s="9">
        <v>0.70833333333333337</v>
      </c>
      <c r="K7" s="9">
        <v>0.99998842592592596</v>
      </c>
      <c r="L7" s="10" t="s">
        <v>14</v>
      </c>
      <c r="M7" s="10" t="s">
        <v>15</v>
      </c>
      <c r="N7" s="11">
        <v>4</v>
      </c>
    </row>
    <row r="8" spans="1:14" x14ac:dyDescent="0.25">
      <c r="A8" s="1">
        <v>5</v>
      </c>
      <c r="B8" s="2">
        <v>45978.517361111109</v>
      </c>
      <c r="C8" s="2">
        <v>45976.51458333333</v>
      </c>
      <c r="D8" s="1">
        <v>10.7</v>
      </c>
      <c r="E8" s="1">
        <v>192.6</v>
      </c>
      <c r="F8" s="1">
        <v>8.3379999999999992</v>
      </c>
      <c r="G8" s="1">
        <v>67.620999999999995</v>
      </c>
      <c r="H8" s="8">
        <v>45976</v>
      </c>
      <c r="I8" s="3">
        <v>0.51458333333333328</v>
      </c>
      <c r="J8" s="9">
        <v>0.5</v>
      </c>
      <c r="K8" s="9">
        <v>0.70832175925925922</v>
      </c>
      <c r="L8" s="10" t="s">
        <v>16</v>
      </c>
      <c r="M8" s="10" t="s">
        <v>17</v>
      </c>
      <c r="N8" s="11">
        <v>3</v>
      </c>
    </row>
    <row r="9" spans="1:14" x14ac:dyDescent="0.25">
      <c r="A9" s="1">
        <v>4</v>
      </c>
      <c r="B9" s="2">
        <v>45978.517361111109</v>
      </c>
      <c r="C9" s="2">
        <v>45976.9</v>
      </c>
      <c r="D9" s="1">
        <v>9.6999999999999993</v>
      </c>
      <c r="E9" s="1">
        <v>174.6</v>
      </c>
      <c r="F9" s="1">
        <v>7.7110000000000003</v>
      </c>
      <c r="G9" s="1">
        <v>60.767000000000003</v>
      </c>
      <c r="H9" s="8">
        <v>45976</v>
      </c>
      <c r="I9" s="3">
        <v>0.9</v>
      </c>
      <c r="J9" s="9">
        <v>0.70833333333333337</v>
      </c>
      <c r="K9" s="9">
        <v>0.99998842592592596</v>
      </c>
      <c r="L9" s="10" t="s">
        <v>14</v>
      </c>
      <c r="M9" s="10" t="s">
        <v>15</v>
      </c>
      <c r="N9" s="11">
        <v>4</v>
      </c>
    </row>
    <row r="10" spans="1:14" x14ac:dyDescent="0.25">
      <c r="A10" s="1">
        <v>3</v>
      </c>
      <c r="B10" s="2">
        <v>45978.517361111109</v>
      </c>
      <c r="C10" s="2">
        <v>45977.35</v>
      </c>
      <c r="D10" s="1">
        <v>10.199999999999999</v>
      </c>
      <c r="E10" s="1">
        <v>183.6</v>
      </c>
      <c r="F10" s="1">
        <v>8.0239999999999991</v>
      </c>
      <c r="G10" s="1">
        <v>64.188999999999993</v>
      </c>
      <c r="H10" s="8">
        <v>45977</v>
      </c>
      <c r="I10" s="3">
        <v>0.35</v>
      </c>
      <c r="J10" s="9">
        <v>0.29166666666666669</v>
      </c>
      <c r="K10" s="9">
        <v>0.49998842592592591</v>
      </c>
      <c r="L10" s="10" t="s">
        <v>12</v>
      </c>
      <c r="M10" s="10" t="s">
        <v>13</v>
      </c>
      <c r="N10" s="11">
        <v>2</v>
      </c>
    </row>
    <row r="11" spans="1:14" x14ac:dyDescent="0.25">
      <c r="A11" s="1">
        <v>2</v>
      </c>
      <c r="B11" s="2">
        <v>45978.517361111109</v>
      </c>
      <c r="C11" s="2">
        <v>45977.739583333336</v>
      </c>
      <c r="D11" s="1">
        <v>11.2</v>
      </c>
      <c r="E11" s="1">
        <v>201.6</v>
      </c>
      <c r="F11" s="1">
        <v>8.6519999999999992</v>
      </c>
      <c r="G11" s="1">
        <v>71.054000000000002</v>
      </c>
      <c r="H11" s="8">
        <v>45977</v>
      </c>
      <c r="I11" s="3">
        <v>0.73958333333333337</v>
      </c>
      <c r="J11" s="9">
        <v>0.70833333333333337</v>
      </c>
      <c r="K11" s="9">
        <v>0.99998842592592596</v>
      </c>
      <c r="L11" s="10" t="s">
        <v>14</v>
      </c>
      <c r="M11" s="10" t="s">
        <v>15</v>
      </c>
      <c r="N11" s="11">
        <v>4</v>
      </c>
    </row>
    <row r="12" spans="1:14" x14ac:dyDescent="0.25">
      <c r="A12" s="1">
        <v>1</v>
      </c>
      <c r="B12" s="2">
        <v>45978.517361111109</v>
      </c>
      <c r="C12" s="2">
        <v>45978.495138888888</v>
      </c>
      <c r="D12" s="1">
        <v>12.3</v>
      </c>
      <c r="E12" s="1">
        <v>221.4</v>
      </c>
      <c r="F12" s="1">
        <v>9.3409999999999993</v>
      </c>
      <c r="G12" s="1">
        <v>78.584999999999994</v>
      </c>
      <c r="H12" s="8">
        <v>45978</v>
      </c>
      <c r="I12" s="3">
        <v>0.49513888888888891</v>
      </c>
      <c r="J12" s="9">
        <v>0.29166666666666669</v>
      </c>
      <c r="K12" s="9">
        <v>0.49998842592592591</v>
      </c>
      <c r="L12" s="10" t="s">
        <v>12</v>
      </c>
      <c r="M12" s="10" t="s">
        <v>13</v>
      </c>
      <c r="N12" s="11">
        <v>2</v>
      </c>
    </row>
    <row r="13" spans="1:14" x14ac:dyDescent="0.25">
      <c r="A13" s="1">
        <v>12</v>
      </c>
      <c r="B13" s="2">
        <v>45978.867361111108</v>
      </c>
      <c r="C13" s="2">
        <v>45978.863194444442</v>
      </c>
      <c r="D13" s="1">
        <v>9</v>
      </c>
      <c r="E13" s="1">
        <v>162</v>
      </c>
      <c r="F13" s="1">
        <v>7.2720000000000002</v>
      </c>
      <c r="G13" s="1">
        <v>55.969000000000001</v>
      </c>
      <c r="H13" s="8">
        <v>45978</v>
      </c>
      <c r="I13" s="3">
        <v>0.86319444444444449</v>
      </c>
      <c r="J13" s="9">
        <v>0.70833333333333337</v>
      </c>
      <c r="K13" s="9">
        <v>0.99998842592592596</v>
      </c>
      <c r="L13" s="10" t="s">
        <v>14</v>
      </c>
      <c r="M13" s="10" t="s">
        <v>15</v>
      </c>
      <c r="N13" s="11">
        <v>4</v>
      </c>
    </row>
    <row r="14" spans="1:14" x14ac:dyDescent="0.25">
      <c r="A14" s="1">
        <v>17</v>
      </c>
      <c r="B14" s="2">
        <v>45981.742361111108</v>
      </c>
      <c r="C14" s="2">
        <v>45979.311805555553</v>
      </c>
      <c r="D14" s="1">
        <v>10.4</v>
      </c>
      <c r="E14" s="1">
        <v>187.2</v>
      </c>
      <c r="F14" s="1">
        <v>8.15</v>
      </c>
      <c r="G14" s="1">
        <v>65.566000000000003</v>
      </c>
      <c r="H14" s="8">
        <v>45979</v>
      </c>
      <c r="I14" s="3">
        <v>0.31180555555555556</v>
      </c>
      <c r="J14" s="9">
        <v>0.29166666666666669</v>
      </c>
      <c r="K14" s="9">
        <v>0.49998842592592591</v>
      </c>
      <c r="L14" s="10" t="s">
        <v>12</v>
      </c>
      <c r="M14" s="10" t="s">
        <v>13</v>
      </c>
      <c r="N14" s="11">
        <v>2</v>
      </c>
    </row>
    <row r="15" spans="1:14" x14ac:dyDescent="0.25">
      <c r="A15" s="1">
        <v>16</v>
      </c>
      <c r="B15" s="2">
        <v>45981.742361111108</v>
      </c>
      <c r="C15" s="2">
        <v>45979.87777777778</v>
      </c>
      <c r="D15" s="1">
        <v>9</v>
      </c>
      <c r="E15" s="1">
        <v>162</v>
      </c>
      <c r="F15" s="1">
        <v>7.2720000000000002</v>
      </c>
      <c r="G15" s="1">
        <v>55.969000000000001</v>
      </c>
      <c r="H15" s="8">
        <v>45979</v>
      </c>
      <c r="I15" s="3">
        <v>0.87777777777777777</v>
      </c>
      <c r="J15" s="9">
        <v>0.70833333333333337</v>
      </c>
      <c r="K15" s="9">
        <v>0.99998842592592596</v>
      </c>
      <c r="L15" s="10" t="s">
        <v>14</v>
      </c>
      <c r="M15" s="10" t="s">
        <v>15</v>
      </c>
      <c r="N15" s="11">
        <v>4</v>
      </c>
    </row>
    <row r="16" spans="1:14" x14ac:dyDescent="0.25">
      <c r="A16" s="1">
        <v>15</v>
      </c>
      <c r="B16" s="2">
        <v>45981.742361111108</v>
      </c>
      <c r="C16" s="2">
        <v>45980.290277777778</v>
      </c>
      <c r="D16" s="1">
        <v>6.4</v>
      </c>
      <c r="E16" s="1">
        <v>115.2</v>
      </c>
      <c r="F16" s="1">
        <v>5.641</v>
      </c>
      <c r="G16" s="1">
        <v>38.139000000000003</v>
      </c>
      <c r="H16" s="8">
        <v>45980</v>
      </c>
      <c r="I16" s="3">
        <v>0.2902777777777778</v>
      </c>
      <c r="J16" s="9">
        <v>0</v>
      </c>
      <c r="K16" s="9">
        <v>0.29165509259259259</v>
      </c>
      <c r="L16" s="10" t="s">
        <v>18</v>
      </c>
      <c r="M16" s="10" t="s">
        <v>13</v>
      </c>
      <c r="N16" s="11">
        <v>1</v>
      </c>
    </row>
    <row r="17" spans="1:14" x14ac:dyDescent="0.25">
      <c r="A17" s="1">
        <v>14</v>
      </c>
      <c r="B17" s="2">
        <v>45981.742361111108</v>
      </c>
      <c r="C17" s="2">
        <v>45980.912499999999</v>
      </c>
      <c r="D17" s="1">
        <v>7.2</v>
      </c>
      <c r="E17" s="1">
        <v>129.6</v>
      </c>
      <c r="F17" s="1">
        <v>6.1429999999999998</v>
      </c>
      <c r="G17" s="1">
        <v>43.627000000000002</v>
      </c>
      <c r="H17" s="8">
        <v>45980</v>
      </c>
      <c r="I17" s="3">
        <v>0.91249999999999998</v>
      </c>
      <c r="J17" s="9">
        <v>0.70833333333333337</v>
      </c>
      <c r="K17" s="9">
        <v>0.99998842592592596</v>
      </c>
      <c r="L17" s="10" t="s">
        <v>14</v>
      </c>
      <c r="M17" s="10" t="s">
        <v>15</v>
      </c>
      <c r="N17" s="11">
        <v>4</v>
      </c>
    </row>
    <row r="18" spans="1:14" x14ac:dyDescent="0.25">
      <c r="A18" s="1">
        <v>13</v>
      </c>
      <c r="B18" s="2">
        <v>45981.742361111108</v>
      </c>
      <c r="C18" s="2">
        <v>45981.5</v>
      </c>
      <c r="D18" s="1">
        <v>13.5</v>
      </c>
      <c r="E18" s="1">
        <v>243</v>
      </c>
      <c r="F18" s="1">
        <v>10.093999999999999</v>
      </c>
      <c r="G18" s="1">
        <v>86.816999999999993</v>
      </c>
      <c r="H18" s="8">
        <v>45981</v>
      </c>
      <c r="I18" s="3">
        <v>0.5</v>
      </c>
      <c r="J18" s="9">
        <v>0.5</v>
      </c>
      <c r="K18" s="9">
        <v>0.70832175925925922</v>
      </c>
      <c r="L18" s="10" t="s">
        <v>16</v>
      </c>
      <c r="M18" s="10" t="s">
        <v>17</v>
      </c>
      <c r="N18" s="11">
        <v>3</v>
      </c>
    </row>
    <row r="19" spans="1:14" x14ac:dyDescent="0.25">
      <c r="A19" s="1">
        <v>24</v>
      </c>
      <c r="B19" s="2">
        <v>45984.819444444445</v>
      </c>
      <c r="C19" s="2">
        <v>45981.868750000001</v>
      </c>
      <c r="D19" s="1">
        <v>8.4</v>
      </c>
      <c r="E19" s="1">
        <v>151.19999999999999</v>
      </c>
      <c r="F19" s="1">
        <v>6.8949999999999996</v>
      </c>
      <c r="G19" s="1">
        <v>51.847000000000001</v>
      </c>
      <c r="H19" s="8">
        <v>45981</v>
      </c>
      <c r="I19" s="3">
        <v>0.86875000000000002</v>
      </c>
      <c r="J19" s="9">
        <v>0.70833333333333337</v>
      </c>
      <c r="K19" s="9">
        <v>0.99998842592592596</v>
      </c>
      <c r="L19" s="10" t="s">
        <v>14</v>
      </c>
      <c r="M19" s="10" t="s">
        <v>15</v>
      </c>
      <c r="N19" s="11">
        <v>4</v>
      </c>
    </row>
    <row r="20" spans="1:14" x14ac:dyDescent="0.25">
      <c r="A20" s="1">
        <v>23</v>
      </c>
      <c r="B20" s="2">
        <v>45984.819444444445</v>
      </c>
      <c r="C20" s="2">
        <v>45982.301388888889</v>
      </c>
      <c r="D20" s="1">
        <v>8</v>
      </c>
      <c r="E20" s="1">
        <v>144</v>
      </c>
      <c r="F20" s="1">
        <v>6.6449999999999996</v>
      </c>
      <c r="G20" s="1">
        <v>49.115000000000002</v>
      </c>
      <c r="H20" s="8">
        <v>45982</v>
      </c>
      <c r="I20" s="3">
        <v>0.30138888888888887</v>
      </c>
      <c r="J20" s="9">
        <v>0.29166666666666669</v>
      </c>
      <c r="K20" s="9">
        <v>0.49998842592592591</v>
      </c>
      <c r="L20" s="10" t="s">
        <v>12</v>
      </c>
      <c r="M20" s="10" t="s">
        <v>13</v>
      </c>
      <c r="N20" s="11">
        <v>2</v>
      </c>
    </row>
    <row r="21" spans="1:14" x14ac:dyDescent="0.25">
      <c r="A21" s="1">
        <v>22</v>
      </c>
      <c r="B21" s="2">
        <v>45984.819444444445</v>
      </c>
      <c r="C21" s="2">
        <v>45982.727777777778</v>
      </c>
      <c r="D21" s="1">
        <v>8.3000000000000007</v>
      </c>
      <c r="E21" s="1">
        <v>149.4</v>
      </c>
      <c r="F21" s="1">
        <v>6.8330000000000002</v>
      </c>
      <c r="G21" s="1">
        <v>51.17</v>
      </c>
      <c r="H21" s="8">
        <v>45982</v>
      </c>
      <c r="I21" s="3">
        <v>0.72777777777777775</v>
      </c>
      <c r="J21" s="9">
        <v>0.70833333333333337</v>
      </c>
      <c r="K21" s="9">
        <v>0.99998842592592596</v>
      </c>
      <c r="L21" s="10" t="s">
        <v>14</v>
      </c>
      <c r="M21" s="10" t="s">
        <v>15</v>
      </c>
      <c r="N21" s="11">
        <v>4</v>
      </c>
    </row>
    <row r="22" spans="1:14" x14ac:dyDescent="0.25">
      <c r="A22" s="1">
        <v>21</v>
      </c>
      <c r="B22" s="2">
        <v>45984.819444444445</v>
      </c>
      <c r="C22" s="2">
        <v>45983.311111111114</v>
      </c>
      <c r="D22" s="1">
        <v>8.6</v>
      </c>
      <c r="E22" s="1">
        <v>154.80000000000001</v>
      </c>
      <c r="F22" s="1">
        <v>7.0209999999999999</v>
      </c>
      <c r="G22" s="1">
        <v>53.225000000000001</v>
      </c>
      <c r="H22" s="8">
        <v>45983</v>
      </c>
      <c r="I22" s="3">
        <v>0.31111111111111112</v>
      </c>
      <c r="J22" s="9">
        <v>0.29166666666666669</v>
      </c>
      <c r="K22" s="9">
        <v>0.49998842592592591</v>
      </c>
      <c r="L22" s="10" t="s">
        <v>12</v>
      </c>
      <c r="M22" s="10" t="s">
        <v>13</v>
      </c>
      <c r="N22" s="11">
        <v>2</v>
      </c>
    </row>
    <row r="23" spans="1:14" x14ac:dyDescent="0.25">
      <c r="A23" s="1">
        <v>20</v>
      </c>
      <c r="B23" s="2">
        <v>45984.819444444445</v>
      </c>
      <c r="C23" s="2">
        <v>45983.722222222219</v>
      </c>
      <c r="D23" s="1">
        <v>13</v>
      </c>
      <c r="E23" s="1">
        <v>234</v>
      </c>
      <c r="F23" s="1">
        <v>9.7799999999999994</v>
      </c>
      <c r="G23" s="1">
        <v>83.384</v>
      </c>
      <c r="H23" s="8">
        <v>45983</v>
      </c>
      <c r="I23" s="3">
        <v>0.72222222222222221</v>
      </c>
      <c r="J23" s="9">
        <v>0.70833333333333337</v>
      </c>
      <c r="K23" s="9">
        <v>0.99998842592592596</v>
      </c>
      <c r="L23" s="10" t="s">
        <v>14</v>
      </c>
      <c r="M23" s="10" t="s">
        <v>15</v>
      </c>
      <c r="N23" s="11">
        <v>4</v>
      </c>
    </row>
    <row r="24" spans="1:14" x14ac:dyDescent="0.25">
      <c r="A24" s="1">
        <v>19</v>
      </c>
      <c r="B24" s="2">
        <v>45984.819444444445</v>
      </c>
      <c r="C24" s="2">
        <v>45984.317361111112</v>
      </c>
      <c r="D24" s="1">
        <v>9</v>
      </c>
      <c r="E24" s="1">
        <v>162</v>
      </c>
      <c r="F24" s="1">
        <v>7.2720000000000002</v>
      </c>
      <c r="G24" s="1">
        <v>55.969000000000001</v>
      </c>
      <c r="H24" s="8">
        <v>45984</v>
      </c>
      <c r="I24" s="3">
        <v>0.31736111111111109</v>
      </c>
      <c r="J24" s="9">
        <v>0.29166666666666669</v>
      </c>
      <c r="K24" s="9">
        <v>0.49998842592592591</v>
      </c>
      <c r="L24" s="10" t="s">
        <v>12</v>
      </c>
      <c r="M24" s="10" t="s">
        <v>13</v>
      </c>
      <c r="N24" s="11">
        <v>2</v>
      </c>
    </row>
    <row r="25" spans="1:14" x14ac:dyDescent="0.25">
      <c r="A25" s="1">
        <v>18</v>
      </c>
      <c r="B25" s="2">
        <v>45984.819444444445</v>
      </c>
      <c r="C25" s="2">
        <v>45984.71597222222</v>
      </c>
      <c r="D25" s="1">
        <v>8.6999999999999993</v>
      </c>
      <c r="E25" s="1">
        <v>156.6</v>
      </c>
      <c r="F25" s="1">
        <v>7.0839999999999996</v>
      </c>
      <c r="G25" s="1">
        <v>53.912999999999997</v>
      </c>
      <c r="H25" s="8">
        <v>45984</v>
      </c>
      <c r="I25" s="3">
        <v>0.71597222222222223</v>
      </c>
      <c r="J25" s="9">
        <v>0.70833333333333337</v>
      </c>
      <c r="K25" s="9">
        <v>0.99998842592592596</v>
      </c>
      <c r="L25" s="10" t="s">
        <v>14</v>
      </c>
      <c r="M25" s="10" t="s">
        <v>15</v>
      </c>
      <c r="N25" s="11">
        <v>4</v>
      </c>
    </row>
    <row r="26" spans="1:14" x14ac:dyDescent="0.25">
      <c r="A26" s="1">
        <v>1023</v>
      </c>
      <c r="B26" s="2">
        <v>45987.719444444447</v>
      </c>
      <c r="C26" s="2">
        <v>45985.293055555558</v>
      </c>
      <c r="D26" s="1">
        <v>6.6</v>
      </c>
      <c r="E26" s="1">
        <v>118.8</v>
      </c>
      <c r="F26" s="1">
        <v>5.7670000000000003</v>
      </c>
      <c r="G26" s="1">
        <v>39.517000000000003</v>
      </c>
      <c r="H26" s="8">
        <v>45985</v>
      </c>
      <c r="I26" s="3">
        <v>0.29305555555555557</v>
      </c>
      <c r="J26" s="9">
        <v>0.29166666666666669</v>
      </c>
      <c r="K26" s="9">
        <v>0.49998842592592591</v>
      </c>
      <c r="L26" s="10" t="s">
        <v>12</v>
      </c>
      <c r="M26" s="10" t="s">
        <v>13</v>
      </c>
      <c r="N26" s="11">
        <v>2</v>
      </c>
    </row>
    <row r="27" spans="1:14" x14ac:dyDescent="0.25">
      <c r="A27" s="1">
        <v>1022</v>
      </c>
      <c r="B27" s="2">
        <v>45987.719444444447</v>
      </c>
      <c r="C27" s="2">
        <v>45985.887499999997</v>
      </c>
      <c r="D27" s="1">
        <v>10</v>
      </c>
      <c r="E27" s="1">
        <v>180</v>
      </c>
      <c r="F27" s="1">
        <v>7.899</v>
      </c>
      <c r="G27" s="1">
        <v>62.822000000000003</v>
      </c>
      <c r="H27" s="8">
        <v>45985</v>
      </c>
      <c r="I27" s="3">
        <v>0.88749999999999996</v>
      </c>
      <c r="J27" s="9">
        <v>0.70833333333333337</v>
      </c>
      <c r="K27" s="9">
        <v>0.99998842592592596</v>
      </c>
      <c r="L27" s="10" t="s">
        <v>14</v>
      </c>
      <c r="M27" s="10" t="s">
        <v>15</v>
      </c>
      <c r="N27" s="11">
        <v>4</v>
      </c>
    </row>
    <row r="28" spans="1:14" x14ac:dyDescent="0.25">
      <c r="A28" s="1">
        <v>1021</v>
      </c>
      <c r="B28" s="2">
        <v>45987.719444444447</v>
      </c>
      <c r="C28" s="2">
        <v>45986.298611111109</v>
      </c>
      <c r="D28" s="1">
        <v>8.1999999999999993</v>
      </c>
      <c r="E28" s="1">
        <v>147.6</v>
      </c>
      <c r="F28" s="1">
        <v>6.77</v>
      </c>
      <c r="G28" s="1">
        <v>50.481000000000002</v>
      </c>
      <c r="H28" s="8">
        <v>45986</v>
      </c>
      <c r="I28" s="3">
        <v>0.2986111111111111</v>
      </c>
      <c r="J28" s="9">
        <v>0.29166666666666669</v>
      </c>
      <c r="K28" s="9">
        <v>0.49998842592592591</v>
      </c>
      <c r="L28" s="10" t="s">
        <v>12</v>
      </c>
      <c r="M28" s="10" t="s">
        <v>13</v>
      </c>
      <c r="N28" s="11">
        <v>2</v>
      </c>
    </row>
    <row r="29" spans="1:14" x14ac:dyDescent="0.25">
      <c r="A29" s="1">
        <v>1020</v>
      </c>
      <c r="B29" s="2">
        <v>45987.719444444447</v>
      </c>
      <c r="C29" s="2">
        <v>45986.723611111112</v>
      </c>
      <c r="D29" s="1">
        <v>14.3</v>
      </c>
      <c r="E29" s="1">
        <v>257.39999999999998</v>
      </c>
      <c r="F29" s="1">
        <v>10.596</v>
      </c>
      <c r="G29" s="1">
        <v>92.304000000000002</v>
      </c>
      <c r="H29" s="8">
        <v>45986</v>
      </c>
      <c r="I29" s="3">
        <v>0.72361111111111109</v>
      </c>
      <c r="J29" s="9">
        <v>0.70833333333333337</v>
      </c>
      <c r="K29" s="9">
        <v>0.99998842592592596</v>
      </c>
      <c r="L29" s="10" t="s">
        <v>14</v>
      </c>
      <c r="M29" s="10" t="s">
        <v>15</v>
      </c>
      <c r="N29" s="11">
        <v>4</v>
      </c>
    </row>
    <row r="30" spans="1:14" x14ac:dyDescent="0.25">
      <c r="A30" s="1">
        <v>1019</v>
      </c>
      <c r="B30" s="2">
        <v>45987.719444444447</v>
      </c>
      <c r="C30" s="2">
        <v>45987.306944444441</v>
      </c>
      <c r="D30" s="1">
        <v>8.3000000000000007</v>
      </c>
      <c r="E30" s="1">
        <v>149.4</v>
      </c>
      <c r="F30" s="1">
        <v>6.8330000000000002</v>
      </c>
      <c r="G30" s="1">
        <v>51.17</v>
      </c>
      <c r="H30" s="8">
        <v>45987</v>
      </c>
      <c r="I30" s="3">
        <v>0.30694444444444446</v>
      </c>
      <c r="J30" s="9">
        <v>0.29166666666666669</v>
      </c>
      <c r="K30" s="9">
        <v>0.49998842592592591</v>
      </c>
      <c r="L30" s="10" t="s">
        <v>12</v>
      </c>
      <c r="M30" s="10" t="s">
        <v>13</v>
      </c>
      <c r="N30" s="11">
        <v>2</v>
      </c>
    </row>
    <row r="31" spans="1:14" x14ac:dyDescent="0.25">
      <c r="A31" s="1">
        <v>1018</v>
      </c>
      <c r="B31" s="2">
        <v>45987.719444444447</v>
      </c>
      <c r="C31" s="2">
        <v>45987.713194444441</v>
      </c>
      <c r="D31" s="1">
        <v>10.8</v>
      </c>
      <c r="E31" s="1">
        <v>194.4</v>
      </c>
      <c r="F31" s="1">
        <v>8.4009999999999998</v>
      </c>
      <c r="G31" s="1">
        <v>68.31</v>
      </c>
      <c r="H31" s="8">
        <v>45987</v>
      </c>
      <c r="I31" s="3">
        <v>0.71319444444444446</v>
      </c>
      <c r="J31" s="9">
        <v>0.70833333333333337</v>
      </c>
      <c r="K31" s="9">
        <v>0.99998842592592596</v>
      </c>
      <c r="L31" s="10" t="s">
        <v>14</v>
      </c>
      <c r="M31" s="10" t="s">
        <v>15</v>
      </c>
      <c r="N31" s="11">
        <v>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6D19CD-AAA3-4D06-9F88-5E6B629EDF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BloodSugarReadingDetails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 Morgan</dc:creator>
  <cp:lastModifiedBy>Leigh Morgan</cp:lastModifiedBy>
  <dcterms:created xsi:type="dcterms:W3CDTF">2025-11-26T17:18:11Z</dcterms:created>
  <dcterms:modified xsi:type="dcterms:W3CDTF">2025-11-26T19:43:56Z</dcterms:modified>
</cp:coreProperties>
</file>