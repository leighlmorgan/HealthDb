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ealthDb\HealthDb\Files\"/>
    </mc:Choice>
  </mc:AlternateContent>
  <xr:revisionPtr revIDLastSave="0" documentId="13_ncr:1_{32897B94-C98F-4B28-8AB9-76A75DE5E7DD}" xr6:coauthVersionLast="47" xr6:coauthVersionMax="47" xr10:uidLastSave="{00000000-0000-0000-0000-000000000000}"/>
  <bookViews>
    <workbookView xWindow="-120" yWindow="-120" windowWidth="29040" windowHeight="15960" xr2:uid="{BDD3D9AA-30AD-4471-9985-58E79E43B90A}"/>
  </bookViews>
  <sheets>
    <sheet name="T-SQ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6" i="1"/>
  <c r="C6" i="1"/>
  <c r="C7" i="1"/>
  <c r="C8" i="1"/>
  <c r="C9" i="1"/>
  <c r="C10" i="1"/>
  <c r="C11" i="1"/>
  <c r="C12" i="1"/>
  <c r="C13" i="1"/>
  <c r="C14" i="1"/>
  <c r="C5" i="1"/>
  <c r="F5" i="1" a="1"/>
  <c r="F5" i="1" s="1"/>
  <c r="G5" i="1" s="1"/>
  <c r="E5" i="1" a="1"/>
  <c r="E5" i="1" s="1"/>
  <c r="E7" i="1" a="1"/>
  <c r="E7" i="1" s="1"/>
  <c r="F7" i="1" a="1"/>
  <c r="F7" i="1" s="1"/>
  <c r="E8" i="1" a="1"/>
  <c r="E8" i="1" s="1"/>
  <c r="F8" i="1" a="1"/>
  <c r="F8" i="1" s="1"/>
  <c r="E9" i="1" a="1"/>
  <c r="E9" i="1" s="1"/>
  <c r="F9" i="1" a="1"/>
  <c r="F9" i="1" s="1"/>
  <c r="E10" i="1" a="1"/>
  <c r="E10" i="1" s="1"/>
  <c r="F10" i="1" a="1"/>
  <c r="F10" i="1" s="1"/>
  <c r="E11" i="1" a="1"/>
  <c r="E11" i="1" s="1"/>
  <c r="F11" i="1" a="1"/>
  <c r="F11" i="1" s="1"/>
  <c r="E12" i="1" a="1"/>
  <c r="E12" i="1" s="1"/>
  <c r="F12" i="1" a="1"/>
  <c r="F12" i="1" s="1"/>
  <c r="E13" i="1" a="1"/>
  <c r="E13" i="1" s="1"/>
  <c r="F13" i="1" a="1"/>
  <c r="F13" i="1" s="1"/>
  <c r="E14" i="1" a="1"/>
  <c r="E14" i="1" s="1"/>
  <c r="F14" i="1" a="1"/>
  <c r="F14" i="1" s="1"/>
  <c r="F6" i="1" a="1"/>
  <c r="F6" i="1" s="1"/>
  <c r="E6" i="1" a="1"/>
  <c r="E6" i="1" s="1"/>
  <c r="D1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<sst xmlns="http://schemas.openxmlformats.org/spreadsheetml/2006/main" count="30" uniqueCount="29">
  <si>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Typical values</t>
  </si>
  <si>
    <t>Energy</t>
  </si>
  <si>
    <t>Fat</t>
  </si>
  <si>
    <t>of which saturates</t>
  </si>
  <si>
    <t>Carbohydrate</t>
  </si>
  <si>
    <t>of which sugars</t>
  </si>
  <si>
    <t>Fibre</t>
  </si>
  <si>
    <t>0.6g</t>
  </si>
  <si>
    <t>Protein</t>
  </si>
  <si>
    <t>Salt</t>
  </si>
  <si>
    <t>SET @FoodId = SCOPE_IDENTITY()</t>
  </si>
  <si>
    <t>INSERT dbo.FoodNutrients (FoodId, NutrientId, NumberOfUnits, ServingSizeUnits, ServingSizeNumberOfUnits) VALUES</t>
  </si>
  <si>
    <t>Value</t>
  </si>
  <si>
    <t>Units</t>
  </si>
  <si>
    <t>Units without per</t>
  </si>
  <si>
    <t>Past Values from Waitrose Below</t>
  </si>
  <si>
    <t>100g contains</t>
  </si>
  <si>
    <t>78kJ</t>
  </si>
  <si>
    <t>19kcal</t>
  </si>
  <si>
    <t>0.1g</t>
  </si>
  <si>
    <t>0.0g</t>
  </si>
  <si>
    <t>1.0g</t>
  </si>
  <si>
    <t>2.6g</t>
  </si>
  <si>
    <t>0.08g</t>
  </si>
  <si>
    <t>0.5g</t>
  </si>
  <si>
    <t>Waitrose Essential Spinach</t>
  </si>
  <si>
    <t>DB Name</t>
  </si>
  <si>
    <t>Essential Spinach</t>
  </si>
  <si>
    <t>Don't need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</si>
</sst>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theme="1"/>
      <name val="Calbiri"/>
    </font>
    <font>
      <sz val="14"/>
      <color theme="1"/>
      <name val="Calbi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BB2D-F735-4A55-BC5F-E1B4375D9E84}">
  <dimension ref="A1:H14"/>
  <sheetViews>
    <sheetView tabSelected="1" workbookViewId="0">
      <selection activeCell="B21" sqref="B21"/>
    </sheetView>
  </sheetViews>
  <sheetFormatPr defaultRowHeight="12"/>
  <cols>
    <col min="1" max="1" width="17.5703125" style="1" customWidth="1"/>
    <col min="2" max="3" width="26.42578125" style="1" customWidth="1"/>
    <col min="4" max="4" width="97.28515625" style="1" bestFit="1" customWidth="1"/>
    <col min="5" max="5" width="5.42578125" style="1" bestFit="1" customWidth="1"/>
    <col min="6" max="6" width="9.140625" style="1"/>
    <col min="7" max="7" width="14.28515625" style="1" bestFit="1" customWidth="1"/>
    <col min="8" max="8" width="12.7109375" style="1" bestFit="1" customWidth="1"/>
    <col min="9" max="16384" width="9.140625" style="1"/>
  </cols>
  <sheetData>
    <row r="1" spans="1:8" s="2" customFormat="1" ht="72">
      <c r="A1" s="4" t="s">
        <v>15</v>
      </c>
      <c r="D1" s="3" t="str">
        <f>"DECLARE @FoodId INT
DECLARE @kj NVARCHAR(20)='kj'
DECLARE @g NVARCHAR(20)='g'
DECLARE @mg NVARCHAR(20)='mg'
DECLARE @ml NVARCHAR(20)='ml'
DECLARE @µg NVARCHAR(20)='µg'"</f>
        <v>DECLARE @FoodId INT
DECLARE @kj NVARCHAR(20)='kj'
DECLARE @g NVARCHAR(20)='g'
DECLARE @mg NVARCHAR(20)='mg'
DECLARE @ml NVARCHAR(20)='ml'
DECLARE @µg NVARCHAR(20)='µg'</v>
      </c>
      <c r="E1" s="2" t="s">
        <v>12</v>
      </c>
      <c r="F1" s="2" t="s">
        <v>13</v>
      </c>
      <c r="G1" s="2" t="s">
        <v>14</v>
      </c>
    </row>
    <row r="2" spans="1:8">
      <c r="A2" s="1" t="s">
        <v>25</v>
      </c>
      <c r="B2" s="1" t="s">
        <v>27</v>
      </c>
      <c r="C2" s="1" t="s">
        <v>26</v>
      </c>
      <c r="D2" s="1" t="str">
        <f>"INSERT dbo.Foods (Name, Description) VALUES ('"&amp;A2&amp;"', '"&amp;B2&amp;"')"</f>
        <v>INSERT dbo.Foods (Name, Description) VALUES ('Waitrose Essential Spinach', 'Essential Spinach')</v>
      </c>
    </row>
    <row r="3" spans="1:8">
      <c r="D3" s="1" t="s">
        <v>10</v>
      </c>
    </row>
    <row r="4" spans="1:8">
      <c r="D4" s="1" t="s">
        <v>11</v>
      </c>
    </row>
    <row r="5" spans="1:8">
      <c r="A5" s="1" t="s">
        <v>0</v>
      </c>
      <c r="B5" s="1" t="s">
        <v>16</v>
      </c>
      <c r="C5" s="1" t="str">
        <f>SUBSTITUTE(SUBSTITUTE(A5,"of which saturates","FatSaturates"),"of which sugars","CarbohydrateSugar")</f>
        <v>Typical values</v>
      </c>
      <c r="E5" s="1" cm="1">
        <f t="array" ref="E5">VALUE(
  _xlfn.TEXTJOIN(
    "",
    ,
    IF(
      (ISNUMBER(--MID(B5,_xlfn.SEQUENCE(LEN(B5)),1)))
        + (MID(B5,_xlfn.SEQUENCE(LEN(B5)),1)=".")
        + (MID(B5,_xlfn.SEQUENCE(LEN(B5)),1)=",") &gt; 0,
      MID(B5,_xlfn.SEQUENCE(LEN(B5)),1),
      ""
    )
  )
)</f>
        <v>100</v>
      </c>
      <c r="F5" s="1" t="str" cm="1">
        <f t="array" ref="F5">_xlfn.TEXTJOIN(
  "",
  ,
  IF(
    NOT(ISNUMBER(--MID(B5,_xlfn.SEQUENCE(LEN(B5)),1)))
      * (MID(B5,_xlfn.SEQUENCE(LEN(B5)),1)&lt;&gt;",")
      * (MID(B5,_xlfn.SEQUENCE(LEN(B5)),1)&lt;&gt;".")
      * (MID(B5,_xlfn.SEQUENCE(LEN(B5)),1)&lt;&gt;" "),
    MID(B5,_xlfn.SEQUENCE(LEN(B5)),1),
    ""
  )
)</f>
        <v>gcontains</v>
      </c>
      <c r="G5" s="1" t="str">
        <f>TRIM(SUBSTITUTE(SUBSTITUTE(F5,"per",""),"contains",""))</f>
        <v>g</v>
      </c>
    </row>
    <row r="6" spans="1:8">
      <c r="A6" s="1" t="s">
        <v>1</v>
      </c>
      <c r="B6" s="1" t="s">
        <v>17</v>
      </c>
      <c r="C6" s="1" t="str">
        <f t="shared" ref="C6:C14" si="0">SUBSTITUTE(SUBSTITUTE(A6,"of which saturates","FatSaturates"),"of which sugars","CarbohydrateSugar")</f>
        <v>Energy</v>
      </c>
      <c r="D6" s="1" t="str">
        <f>IF(F6&lt;&gt;"kcal","(@FoodId, (SELECT Id FROM dbo.Nutrients WHERE Name = '"&amp;C6&amp;"' AND Unit='"&amp;F6&amp;"'), "&amp;E6&amp;", '"&amp;G$5&amp;"', "&amp;E$5&amp;"),","")</f>
        <v>(@FoodId, (SELECT Id FROM dbo.Nutrients WHERE Name = 'Energy' AND Unit='kJ'), 78, 'g', 100),</v>
      </c>
      <c r="E6" s="1" cm="1">
        <f t="array" ref="E6">VALUE(
  _xlfn.TEXTJOIN(
    "",
    ,
    IF(
      (ISNUMBER(--MID(B6,_xlfn.SEQUENCE(LEN(B6)),1)))
        + (MID(B6,_xlfn.SEQUENCE(LEN(B6)),1)=".")
        + (MID(B6,_xlfn.SEQUENCE(LEN(B6)),1)=",") &gt; 0,
      MID(B6,_xlfn.SEQUENCE(LEN(B6)),1),
      ""
    )
  )
)</f>
        <v>78</v>
      </c>
      <c r="F6" s="1" t="str" cm="1">
        <f t="array" ref="F6">_xlfn.TEXTJOIN(
  "",
  ,
  IF(
    NOT(ISNUMBER(--MID(B6,_xlfn.SEQUENCE(LEN(B6)),1)))
      * (MID(B6,_xlfn.SEQUENCE(LEN(B6)),1)&lt;&gt;",")
      * (MID(B6,_xlfn.SEQUENCE(LEN(B6)),1)&lt;&gt;".")
      * (MID(B6,_xlfn.SEQUENCE(LEN(B6)),1)&lt;&gt;" "),
    MID(B6,_xlfn.SEQUENCE(LEN(B6)),1),
    ""
  )
)</f>
        <v>kJ</v>
      </c>
    </row>
    <row r="7" spans="1:8">
      <c r="A7" s="1" t="s">
        <v>1</v>
      </c>
      <c r="B7" s="1" t="s">
        <v>18</v>
      </c>
      <c r="C7" s="1" t="str">
        <f t="shared" si="0"/>
        <v>Energy</v>
      </c>
      <c r="D7" s="1" t="str">
        <f t="shared" ref="D7:D14" si="1">IF(F7&lt;&gt;"kcal","(@FoodId, (SELECT Id FROM dbo.Nutrients WHERE Name = '"&amp;C7&amp;"' AND Unit='"&amp;F7&amp;"'), "&amp;E7&amp;", '"&amp;G$5&amp;"', "&amp;E$5&amp;"),","")</f>
        <v/>
      </c>
      <c r="E7" s="1" cm="1">
        <f t="array" ref="E7">VALUE(
  _xlfn.TEXTJOIN(
    "",
    ,
    IF(
      (ISNUMBER(--MID(B7,_xlfn.SEQUENCE(LEN(B7)),1)))
        + (MID(B7,_xlfn.SEQUENCE(LEN(B7)),1)=".")
        + (MID(B7,_xlfn.SEQUENCE(LEN(B7)),1)=",") &gt; 0,
      MID(B7,_xlfn.SEQUENCE(LEN(B7)),1),
      ""
    )
  )
)</f>
        <v>19</v>
      </c>
      <c r="F7" s="1" t="str" cm="1">
        <f t="array" ref="F7">_xlfn.TEXTJOIN(
  "",
  ,
  IF(
    NOT(ISNUMBER(--MID(B7,_xlfn.SEQUENCE(LEN(B7)),1)))
      * (MID(B7,_xlfn.SEQUENCE(LEN(B7)),1)&lt;&gt;",")
      * (MID(B7,_xlfn.SEQUENCE(LEN(B7)),1)&lt;&gt;".")
      * (MID(B7,_xlfn.SEQUENCE(LEN(B7)),1)&lt;&gt;" "),
    MID(B7,_xlfn.SEQUENCE(LEN(B7)),1),
    ""
  )
)</f>
        <v>kcal</v>
      </c>
      <c r="H7" s="1" t="s">
        <v>28</v>
      </c>
    </row>
    <row r="8" spans="1:8">
      <c r="A8" s="1" t="s">
        <v>2</v>
      </c>
      <c r="B8" s="1" t="s">
        <v>7</v>
      </c>
      <c r="C8" s="1" t="str">
        <f t="shared" si="0"/>
        <v>Fat</v>
      </c>
      <c r="D8" s="1" t="str">
        <f t="shared" si="1"/>
        <v>(@FoodId, (SELECT Id FROM dbo.Nutrients WHERE Name = 'Fat' AND Unit='g'), 0.6, 'g', 100),</v>
      </c>
      <c r="E8" s="1" cm="1">
        <f t="array" ref="E8">VALUE(
  _xlfn.TEXTJOIN(
    "",
    ,
    IF(
      (ISNUMBER(--MID(B8,_xlfn.SEQUENCE(LEN(B8)),1)))
        + (MID(B8,_xlfn.SEQUENCE(LEN(B8)),1)=".")
        + (MID(B8,_xlfn.SEQUENCE(LEN(B8)),1)=",") &gt; 0,
      MID(B8,_xlfn.SEQUENCE(LEN(B8)),1),
      ""
    )
  )
)</f>
        <v>0.6</v>
      </c>
      <c r="F8" s="1" t="str" cm="1">
        <f t="array" ref="F8">_xlfn.TEXTJOIN(
  "",
  ,
  IF(
    NOT(ISNUMBER(--MID(B8,_xlfn.SEQUENCE(LEN(B8)),1)))
      * (MID(B8,_xlfn.SEQUENCE(LEN(B8)),1)&lt;&gt;",")
      * (MID(B8,_xlfn.SEQUENCE(LEN(B8)),1)&lt;&gt;".")
      * (MID(B8,_xlfn.SEQUENCE(LEN(B8)),1)&lt;&gt;" "),
    MID(B8,_xlfn.SEQUENCE(LEN(B8)),1),
    ""
  )
)</f>
        <v>g</v>
      </c>
    </row>
    <row r="9" spans="1:8">
      <c r="A9" s="1" t="s">
        <v>3</v>
      </c>
      <c r="B9" s="1" t="s">
        <v>19</v>
      </c>
      <c r="C9" s="1" t="str">
        <f t="shared" si="0"/>
        <v>FatSaturates</v>
      </c>
      <c r="D9" s="1" t="str">
        <f t="shared" si="1"/>
        <v>(@FoodId, (SELECT Id FROM dbo.Nutrients WHERE Name = 'FatSaturates' AND Unit='g'), 0.1, 'g', 100),</v>
      </c>
      <c r="E9" s="1" cm="1">
        <f t="array" ref="E9">VALUE(
  _xlfn.TEXTJOIN(
    "",
    ,
    IF(
      (ISNUMBER(--MID(B9,_xlfn.SEQUENCE(LEN(B9)),1)))
        + (MID(B9,_xlfn.SEQUENCE(LEN(B9)),1)=".")
        + (MID(B9,_xlfn.SEQUENCE(LEN(B9)),1)=",") &gt; 0,
      MID(B9,_xlfn.SEQUENCE(LEN(B9)),1),
      ""
    )
  )
)</f>
        <v>0.1</v>
      </c>
      <c r="F9" s="1" t="str" cm="1">
        <f t="array" ref="F9">_xlfn.TEXTJOIN(
  "",
  ,
  IF(
    NOT(ISNUMBER(--MID(B9,_xlfn.SEQUENCE(LEN(B9)),1)))
      * (MID(B9,_xlfn.SEQUENCE(LEN(B9)),1)&lt;&gt;",")
      * (MID(B9,_xlfn.SEQUENCE(LEN(B9)),1)&lt;&gt;".")
      * (MID(B9,_xlfn.SEQUENCE(LEN(B9)),1)&lt;&gt;" "),
    MID(B9,_xlfn.SEQUENCE(LEN(B9)),1),
    ""
  )
)</f>
        <v>g</v>
      </c>
    </row>
    <row r="10" spans="1:8">
      <c r="A10" s="1" t="s">
        <v>4</v>
      </c>
      <c r="B10" s="1" t="s">
        <v>24</v>
      </c>
      <c r="C10" s="1" t="str">
        <f t="shared" si="0"/>
        <v>Carbohydrate</v>
      </c>
      <c r="D10" s="1" t="str">
        <f t="shared" si="1"/>
        <v>(@FoodId, (SELECT Id FROM dbo.Nutrients WHERE Name = 'Carbohydrate' AND Unit='g'), 0.5, 'g', 100),</v>
      </c>
      <c r="E10" s="1" cm="1">
        <f t="array" ref="E10">VALUE(
  _xlfn.TEXTJOIN(
    "",
    ,
    IF(
      (ISNUMBER(--MID(B10,_xlfn.SEQUENCE(LEN(B10)),1)))
        + (MID(B10,_xlfn.SEQUENCE(LEN(B10)),1)=".")
        + (MID(B10,_xlfn.SEQUENCE(LEN(B10)),1)=",") &gt; 0,
      MID(B10,_xlfn.SEQUENCE(LEN(B10)),1),
      ""
    )
  )
)</f>
        <v>0.5</v>
      </c>
      <c r="F10" s="1" t="str" cm="1">
        <f t="array" ref="F10">_xlfn.TEXTJOIN(
  "",
  ,
  IF(
    NOT(ISNUMBER(--MID(B10,_xlfn.SEQUENCE(LEN(B10)),1)))
      * (MID(B10,_xlfn.SEQUENCE(LEN(B10)),1)&lt;&gt;",")
      * (MID(B10,_xlfn.SEQUENCE(LEN(B10)),1)&lt;&gt;".")
      * (MID(B10,_xlfn.SEQUENCE(LEN(B10)),1)&lt;&gt;" "),
    MID(B10,_xlfn.SEQUENCE(LEN(B10)),1),
    ""
  )
)</f>
        <v>g</v>
      </c>
    </row>
    <row r="11" spans="1:8">
      <c r="A11" s="1" t="s">
        <v>5</v>
      </c>
      <c r="B11" s="1" t="s">
        <v>20</v>
      </c>
      <c r="C11" s="1" t="str">
        <f t="shared" si="0"/>
        <v>CarbohydrateSugar</v>
      </c>
      <c r="D11" s="1" t="str">
        <f t="shared" si="1"/>
        <v>(@FoodId, (SELECT Id FROM dbo.Nutrients WHERE Name = 'CarbohydrateSugar' AND Unit='g'), 0, 'g', 100),</v>
      </c>
      <c r="E11" s="1" cm="1">
        <f t="array" ref="E11">VALUE(
  _xlfn.TEXTJOIN(
    "",
    ,
    IF(
      (ISNUMBER(--MID(B11,_xlfn.SEQUENCE(LEN(B11)),1)))
        + (MID(B11,_xlfn.SEQUENCE(LEN(B11)),1)=".")
        + (MID(B11,_xlfn.SEQUENCE(LEN(B11)),1)=",") &gt; 0,
      MID(B11,_xlfn.SEQUENCE(LEN(B11)),1),
      ""
    )
  )
)</f>
        <v>0</v>
      </c>
      <c r="F11" s="1" t="str" cm="1">
        <f t="array" ref="F11">_xlfn.TEXTJOIN(
  "",
  ,
  IF(
    NOT(ISNUMBER(--MID(B11,_xlfn.SEQUENCE(LEN(B11)),1)))
      * (MID(B11,_xlfn.SEQUENCE(LEN(B11)),1)&lt;&gt;",")
      * (MID(B11,_xlfn.SEQUENCE(LEN(B11)),1)&lt;&gt;".")
      * (MID(B11,_xlfn.SEQUENCE(LEN(B11)),1)&lt;&gt;" "),
    MID(B11,_xlfn.SEQUENCE(LEN(B11)),1),
    ""
  )
)</f>
        <v>g</v>
      </c>
    </row>
    <row r="12" spans="1:8">
      <c r="A12" s="1" t="s">
        <v>6</v>
      </c>
      <c r="B12" s="1" t="s">
        <v>21</v>
      </c>
      <c r="C12" s="1" t="str">
        <f t="shared" si="0"/>
        <v>Fibre</v>
      </c>
      <c r="D12" s="1" t="str">
        <f t="shared" si="1"/>
        <v>(@FoodId, (SELECT Id FROM dbo.Nutrients WHERE Name = 'Fibre' AND Unit='g'), 1, 'g', 100),</v>
      </c>
      <c r="E12" s="1" cm="1">
        <f t="array" ref="E12">VALUE(
  _xlfn.TEXTJOIN(
    "",
    ,
    IF(
      (ISNUMBER(--MID(B12,_xlfn.SEQUENCE(LEN(B12)),1)))
        + (MID(B12,_xlfn.SEQUENCE(LEN(B12)),1)=".")
        + (MID(B12,_xlfn.SEQUENCE(LEN(B12)),1)=",") &gt; 0,
      MID(B12,_xlfn.SEQUENCE(LEN(B12)),1),
      ""
    )
  )
)</f>
        <v>1</v>
      </c>
      <c r="F12" s="1" t="str" cm="1">
        <f t="array" ref="F12">_xlfn.TEXTJOIN(
  "",
  ,
  IF(
    NOT(ISNUMBER(--MID(B12,_xlfn.SEQUENCE(LEN(B12)),1)))
      * (MID(B12,_xlfn.SEQUENCE(LEN(B12)),1)&lt;&gt;",")
      * (MID(B12,_xlfn.SEQUENCE(LEN(B12)),1)&lt;&gt;".")
      * (MID(B12,_xlfn.SEQUENCE(LEN(B12)),1)&lt;&gt;" "),
    MID(B12,_xlfn.SEQUENCE(LEN(B12)),1),
    ""
  )
)</f>
        <v>g</v>
      </c>
    </row>
    <row r="13" spans="1:8">
      <c r="A13" s="1" t="s">
        <v>8</v>
      </c>
      <c r="B13" s="1" t="s">
        <v>22</v>
      </c>
      <c r="C13" s="1" t="str">
        <f t="shared" si="0"/>
        <v>Protein</v>
      </c>
      <c r="D13" s="1" t="str">
        <f t="shared" si="1"/>
        <v>(@FoodId, (SELECT Id FROM dbo.Nutrients WHERE Name = 'Protein' AND Unit='g'), 2.6, 'g', 100),</v>
      </c>
      <c r="E13" s="1" cm="1">
        <f t="array" ref="E13">VALUE(
  _xlfn.TEXTJOIN(
    "",
    ,
    IF(
      (ISNUMBER(--MID(B13,_xlfn.SEQUENCE(LEN(B13)),1)))
        + (MID(B13,_xlfn.SEQUENCE(LEN(B13)),1)=".")
        + (MID(B13,_xlfn.SEQUENCE(LEN(B13)),1)=",") &gt; 0,
      MID(B13,_xlfn.SEQUENCE(LEN(B13)),1),
      ""
    )
  )
)</f>
        <v>2.6</v>
      </c>
      <c r="F13" s="1" t="str" cm="1">
        <f t="array" ref="F13">_xlfn.TEXTJOIN(
  "",
  ,
  IF(
    NOT(ISNUMBER(--MID(B13,_xlfn.SEQUENCE(LEN(B13)),1)))
      * (MID(B13,_xlfn.SEQUENCE(LEN(B13)),1)&lt;&gt;",")
      * (MID(B13,_xlfn.SEQUENCE(LEN(B13)),1)&lt;&gt;".")
      * (MID(B13,_xlfn.SEQUENCE(LEN(B13)),1)&lt;&gt;" "),
    MID(B13,_xlfn.SEQUENCE(LEN(B13)),1),
    ""
  )
)</f>
        <v>g</v>
      </c>
    </row>
    <row r="14" spans="1:8">
      <c r="A14" s="1" t="s">
        <v>9</v>
      </c>
      <c r="B14" s="1" t="s">
        <v>23</v>
      </c>
      <c r="C14" s="1" t="str">
        <f t="shared" si="0"/>
        <v>Salt</v>
      </c>
      <c r="D14" s="1" t="str">
        <f t="shared" si="1"/>
        <v>(@FoodId, (SELECT Id FROM dbo.Nutrients WHERE Name = 'Salt' AND Unit='g'), 0.08, 'g', 100),</v>
      </c>
      <c r="E14" s="1" cm="1">
        <f t="array" ref="E14">VALUE(
  _xlfn.TEXTJOIN(
    "",
    ,
    IF(
      (ISNUMBER(--MID(B14,_xlfn.SEQUENCE(LEN(B14)),1)))
        + (MID(B14,_xlfn.SEQUENCE(LEN(B14)),1)=".")
        + (MID(B14,_xlfn.SEQUENCE(LEN(B14)),1)=",") &gt; 0,
      MID(B14,_xlfn.SEQUENCE(LEN(B14)),1),
      ""
    )
  )
)</f>
        <v>0.08</v>
      </c>
      <c r="F14" s="1" t="str" cm="1">
        <f t="array" ref="F14">_xlfn.TEXTJOIN(
  "",
  ,
  IF(
    NOT(ISNUMBER(--MID(B14,_xlfn.SEQUENCE(LEN(B14)),1)))
      * (MID(B14,_xlfn.SEQUENCE(LEN(B14)),1)&lt;&gt;",")
      * (MID(B14,_xlfn.SEQUENCE(LEN(B14)),1)&lt;&gt;".")
      * (MID(B14,_xlfn.SEQUENCE(LEN(B14)),1)&lt;&gt;" "),
    MID(B14,_xlfn.SEQUENCE(LEN(B14)),1),
    ""
  )
)</f>
        <v>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Morgan</dc:creator>
  <cp:lastModifiedBy>Leigh Morgan</cp:lastModifiedBy>
  <dcterms:created xsi:type="dcterms:W3CDTF">2025-11-16T11:03:01Z</dcterms:created>
  <dcterms:modified xsi:type="dcterms:W3CDTF">2025-11-16T12:00:06Z</dcterms:modified>
</cp:coreProperties>
</file>